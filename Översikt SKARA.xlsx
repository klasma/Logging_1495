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X2">
        <f>HYPERLINK("https://klasma.github.io/Logging_1495/kartor_geotiff/A 1202-2024 georefererad karta.tif", "A 1202-2024")</f>
        <v/>
      </c>
      <c r="Z2">
        <f>HYPERLINK("https://klasma.github.io/Logging_1495/klagomål/A 1202-2024 FSC-klagomål.docx", "A 1202-2024")</f>
        <v/>
      </c>
      <c r="AA2">
        <f>HYPERLINK("https://klasma.github.io/Logging_1495/klagomålsmail/A 1202-2024 FSC-klagomål mail.docx", "A 1202-2024")</f>
        <v/>
      </c>
      <c r="AB2">
        <f>HYPERLINK("https://klasma.github.io/Logging_1495/tillsyn/A 1202-2024 tillsynsbegäran.docx", "A 1202-2024")</f>
        <v/>
      </c>
      <c r="AC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X3">
        <f>HYPERLINK("https://klasma.github.io/Logging_1495/kartor_geotiff/A 16179-2025 georefererad karta.tif", "A 16179-2025")</f>
        <v/>
      </c>
      <c r="Z3">
        <f>HYPERLINK("https://klasma.github.io/Logging_1495/klagomål/A 16179-2025 FSC-klagomål.docx", "A 16179-2025")</f>
        <v/>
      </c>
      <c r="AA3">
        <f>HYPERLINK("https://klasma.github.io/Logging_1495/klagomålsmail/A 16179-2025 FSC-klagomål mail.docx", "A 16179-2025")</f>
        <v/>
      </c>
      <c r="AB3">
        <f>HYPERLINK("https://klasma.github.io/Logging_1495/tillsyn/A 16179-2025 tillsynsbegäran.docx", "A 16179-2025")</f>
        <v/>
      </c>
      <c r="AC3">
        <f>HYPERLINK("https://klasma.github.io/Logging_1495/tillsynsmail/A 16179-2025 tillsynsbegäran mail.docx", "A 16179-2025")</f>
        <v/>
      </c>
      <c r="AD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46223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X4">
        <f>HYPERLINK("https://klasma.github.io/Logging_1495/kartor_geotiff/A 33610-2025 georefererad karta.tif", "A 33610-2025")</f>
        <v/>
      </c>
      <c r="Z4">
        <f>HYPERLINK("https://klasma.github.io/Logging_1495/klagomål/A 33610-2025 FSC-klagomål.docx", "A 33610-2025")</f>
        <v/>
      </c>
      <c r="AA4">
        <f>HYPERLINK("https://klasma.github.io/Logging_1495/klagomålsmail/A 33610-2025 FSC-klagomål mail.docx", "A 33610-2025")</f>
        <v/>
      </c>
      <c r="AB4">
        <f>HYPERLINK("https://klasma.github.io/Logging_1495/tillsyn/A 33610-2025 tillsynsbegäran.docx", "A 33610-2025")</f>
        <v/>
      </c>
      <c r="AC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46223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X5">
        <f>HYPERLINK("https://klasma.github.io/Logging_1495/kartor_geotiff/A 8807-2022 georefererad karta.tif", "A 8807-2022")</f>
        <v/>
      </c>
      <c r="Z5">
        <f>HYPERLINK("https://klasma.github.io/Logging_1495/klagomål/A 8807-2022 FSC-klagomål.docx", "A 8807-2022")</f>
        <v/>
      </c>
      <c r="AA5">
        <f>HYPERLINK("https://klasma.github.io/Logging_1495/klagomålsmail/A 8807-2022 FSC-klagomål mail.docx", "A 8807-2022")</f>
        <v/>
      </c>
      <c r="AB5">
        <f>HYPERLINK("https://klasma.github.io/Logging_1495/tillsyn/A 8807-2022 tillsynsbegäran.docx", "A 8807-2022")</f>
        <v/>
      </c>
      <c r="AC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46223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X6">
        <f>HYPERLINK("https://klasma.github.io/Logging_1495/kartor_geotiff/A 22585-2022 georefererad karta.tif", "A 22585-2022")</f>
        <v/>
      </c>
      <c r="Z6">
        <f>HYPERLINK("https://klasma.github.io/Logging_1495/klagomål/A 22585-2022 FSC-klagomål.docx", "A 22585-2022")</f>
        <v/>
      </c>
      <c r="AA6">
        <f>HYPERLINK("https://klasma.github.io/Logging_1495/klagomålsmail/A 22585-2022 FSC-klagomål mail.docx", "A 22585-2022")</f>
        <v/>
      </c>
      <c r="AB6">
        <f>HYPERLINK("https://klasma.github.io/Logging_1495/tillsyn/A 22585-2022 tillsynsbegäran.docx", "A 22585-2022")</f>
        <v/>
      </c>
      <c r="AC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46223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Slåttergubbe
Revlummer</t>
        </is>
      </c>
      <c r="V7">
        <f>HYPERLINK("https://klasma.github.io/Logging_1495/artfynd/A 18736-2023 artfynd.xlsx", "A 18736-2023")</f>
        <v/>
      </c>
      <c r="W7">
        <f>HYPERLINK("https://klasma.github.io/Logging_1495/kartor/A 18736-2023 karta.png", "A 18736-2023")</f>
        <v/>
      </c>
      <c r="X7">
        <f>HYPERLINK("https://klasma.github.io/Logging_1495/kartor_geotiff/A 18736-2023 georefererad karta.tif", "A 18736-2023")</f>
        <v/>
      </c>
      <c r="Z7">
        <f>HYPERLINK("https://klasma.github.io/Logging_1495/klagomål/A 18736-2023 FSC-klagomål.docx", "A 18736-2023")</f>
        <v/>
      </c>
      <c r="AA7">
        <f>HYPERLINK("https://klasma.github.io/Logging_1495/klagomålsmail/A 18736-2023 FSC-klagomål mail.docx", "A 18736-2023")</f>
        <v/>
      </c>
      <c r="AB7">
        <f>HYPERLINK("https://klasma.github.io/Logging_1495/tillsyn/A 18736-2023 tillsynsbegäran.docx", "A 18736-2023")</f>
        <v/>
      </c>
      <c r="AC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46223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s="2" t="inlineStr">
        <is>
          <t>Hartmansstarr
Klasefibbla</t>
        </is>
      </c>
      <c r="V8">
        <f>HYPERLINK("https://klasma.github.io/Logging_1495/artfynd/A 4312-2023 artfynd.xlsx", "A 4312-2023")</f>
        <v/>
      </c>
      <c r="W8">
        <f>HYPERLINK("https://klasma.github.io/Logging_1495/kartor/A 4312-2023 karta.png", "A 4312-2023")</f>
        <v/>
      </c>
      <c r="X8">
        <f>HYPERLINK("https://klasma.github.io/Logging_1495/kartor_geotiff/A 4312-2023 georefererad karta.tif", "A 4312-2023")</f>
        <v/>
      </c>
      <c r="Z8">
        <f>HYPERLINK("https://klasma.github.io/Logging_1495/klagomål/A 4312-2023 FSC-klagomål.docx", "A 4312-2023")</f>
        <v/>
      </c>
      <c r="AA8">
        <f>HYPERLINK("https://klasma.github.io/Logging_1495/klagomålsmail/A 4312-2023 FSC-klagomål mail.docx", "A 4312-2023")</f>
        <v/>
      </c>
      <c r="AB8">
        <f>HYPERLINK("https://klasma.github.io/Logging_1495/tillsyn/A 4312-2023 tillsynsbegäran.docx", "A 4312-2023")</f>
        <v/>
      </c>
      <c r="AC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46223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X9">
        <f>HYPERLINK("https://klasma.github.io/Logging_1495/kartor_geotiff/S 2565-2025 georefererad karta.tif", "S 2565-2025")</f>
        <v/>
      </c>
      <c r="Z9">
        <f>HYPERLINK("https://klasma.github.io/Logging_1495/klagomål/S 2565-2025 FSC-klagomål.docx", "S 2565-2025")</f>
        <v/>
      </c>
      <c r="AA9">
        <f>HYPERLINK("https://klasma.github.io/Logging_1495/klagomålsmail/S 2565-2025 FSC-klagomål mail.docx", "S 2565-2025")</f>
        <v/>
      </c>
      <c r="AB9">
        <f>HYPERLINK("https://klasma.github.io/Logging_1495/tillsyn/S 2565-2025 tillsynsbegäran.docx", "S 2565-2025")</f>
        <v/>
      </c>
      <c r="AC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46223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X10">
        <f>HYPERLINK("https://klasma.github.io/Logging_1495/kartor_geotiff/S 258-2026 georefererad karta.tif", "S 258-2026")</f>
        <v/>
      </c>
      <c r="Z10">
        <f>HYPERLINK("https://klasma.github.io/Logging_1495/klagomål/S 258-2026 FSC-klagomål.docx", "S 258-2026")</f>
        <v/>
      </c>
      <c r="AA10">
        <f>HYPERLINK("https://klasma.github.io/Logging_1495/klagomålsmail/S 258-2026 FSC-klagomål mail.docx", "S 258-2026")</f>
        <v/>
      </c>
      <c r="AB10">
        <f>HYPERLINK("https://klasma.github.io/Logging_1495/tillsyn/S 258-2026 tillsynsbegäran.docx", "S 258-2026")</f>
        <v/>
      </c>
      <c r="AC10">
        <f>HYPERLINK("https://klasma.github.io/Logging_1495/tillsynsmail/S 258-2026 tillsynsbegäran mail.docx", "S 258-2026")</f>
        <v/>
      </c>
      <c r="AD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46223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HYPERLINK("https://klasma.github.io/Logging_1495/kartor_geotiff/A 50318-2021 georefererad karta.tif", "A 50318-2021")</f>
        <v/>
      </c>
      <c r="Y11">
        <f>HYPERLINK("https://klasma.github.io/Logging_1495/knärot/A 50318-2021 karta knärot.png", "A 50318-2021")</f>
        <v/>
      </c>
      <c r="Z11">
        <f>HYPERLINK("https://klasma.github.io/Logging_1495/klagomål/A 50318-2021 FSC-klagomål.docx", "A 50318-2021")</f>
        <v/>
      </c>
      <c r="AA11">
        <f>HYPERLINK("https://klasma.github.io/Logging_1495/klagomålsmail/A 50318-2021 FSC-klagomål mail.docx", "A 50318-2021")</f>
        <v/>
      </c>
      <c r="AB11">
        <f>HYPERLINK("https://klasma.github.io/Logging_1495/tillsyn/A 50318-2021 tillsynsbegäran.docx", "A 50318-2021")</f>
        <v/>
      </c>
      <c r="AC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46223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Grönvit nattviol</t>
        </is>
      </c>
      <c r="V12">
        <f>HYPERLINK("https://klasma.github.io/Logging_1495/artfynd/A 9277-2023 artfynd.xlsx", "A 9277-2023")</f>
        <v/>
      </c>
      <c r="W12">
        <f>HYPERLINK("https://klasma.github.io/Logging_1495/kartor/A 9277-2023 karta.png", "A 9277-2023")</f>
        <v/>
      </c>
      <c r="X12">
        <f>HYPERLINK("https://klasma.github.io/Logging_1495/kartor_geotiff/A 9277-2023 georefererad karta.tif", "A 9277-2023")</f>
        <v/>
      </c>
      <c r="Z12">
        <f>HYPERLINK("https://klasma.github.io/Logging_1495/klagomål/A 9277-2023 FSC-klagomål.docx", "A 9277-2023")</f>
        <v/>
      </c>
      <c r="AA12">
        <f>HYPERLINK("https://klasma.github.io/Logging_1495/klagomålsmail/A 9277-2023 FSC-klagomål mail.docx", "A 9277-2023")</f>
        <v/>
      </c>
      <c r="AB12">
        <f>HYPERLINK("https://klasma.github.io/Logging_1495/tillsyn/A 9277-2023 tillsynsbegäran.docx", "A 9277-2023")</f>
        <v/>
      </c>
      <c r="AC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46223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Skinntagging</t>
        </is>
      </c>
      <c r="V13">
        <f>HYPERLINK("https://klasma.github.io/Logging_1495/artfynd/A 20063-2025 artfynd.xlsx", "A 20063-2025")</f>
        <v/>
      </c>
      <c r="W13">
        <f>HYPERLINK("https://klasma.github.io/Logging_1495/kartor/A 20063-2025 karta.png", "A 20063-2025")</f>
        <v/>
      </c>
      <c r="X13">
        <f>HYPERLINK("https://klasma.github.io/Logging_1495/kartor_geotiff/A 20063-2025 georefererad karta.tif", "A 20063-2025")</f>
        <v/>
      </c>
      <c r="Z13">
        <f>HYPERLINK("https://klasma.github.io/Logging_1495/klagomål/A 20063-2025 FSC-klagomål.docx", "A 20063-2025")</f>
        <v/>
      </c>
      <c r="AA13">
        <f>HYPERLINK("https://klasma.github.io/Logging_1495/klagomålsmail/A 20063-2025 FSC-klagomål mail.docx", "A 20063-2025")</f>
        <v/>
      </c>
      <c r="AB13">
        <f>HYPERLINK("https://klasma.github.io/Logging_1495/tillsyn/A 20063-2025 tillsynsbegäran.docx", "A 20063-2025")</f>
        <v/>
      </c>
      <c r="AC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46223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s="2" t="inlineStr">
        <is>
          <t>Motaggsvamp</t>
        </is>
      </c>
      <c r="V14">
        <f>HYPERLINK("https://klasma.github.io/Logging_1495/artfynd/A 55928-2025 artfynd.xlsx", "A 55928-2025")</f>
        <v/>
      </c>
      <c r="W14">
        <f>HYPERLINK("https://klasma.github.io/Logging_1495/kartor/A 55928-2025 karta.png", "A 55928-2025")</f>
        <v/>
      </c>
      <c r="X14">
        <f>HYPERLINK("https://klasma.github.io/Logging_1495/kartor_geotiff/A 55928-2025 georefererad karta.tif", "A 55928-2025")</f>
        <v/>
      </c>
      <c r="Z14">
        <f>HYPERLINK("https://klasma.github.io/Logging_1495/klagomål/A 55928-2025 FSC-klagomål.docx", "A 55928-2025")</f>
        <v/>
      </c>
      <c r="AA14">
        <f>HYPERLINK("https://klasma.github.io/Logging_1495/klagomålsmail/A 55928-2025 FSC-klagomål mail.docx", "A 55928-2025")</f>
        <v/>
      </c>
      <c r="AB14">
        <f>HYPERLINK("https://klasma.github.io/Logging_1495/tillsyn/A 55928-2025 tillsynsbegäran.docx", "A 55928-2025")</f>
        <v/>
      </c>
      <c r="AC14">
        <f>HYPERLINK("https://klasma.github.io/Logging_1495/tillsynsmail/A 55928-2025 tillsynsbegäran mail.docx", "A 55928-2025")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46223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HYPERLINK("https://klasma.github.io/Logging_1495/artfynd/A 30080-2023 artfynd.xlsx", "A 30080-2023")</f>
        <v/>
      </c>
      <c r="W15">
        <f>HYPERLINK("https://klasma.github.io/Logging_1495/kartor/A 30080-2023 karta.png", "A 30080-2023")</f>
        <v/>
      </c>
      <c r="X15">
        <f>HYPERLINK("https://klasma.github.io/Logging_1495/kartor_geotiff/A 30080-2023 georefererad karta.tif", "A 30080-2023")</f>
        <v/>
      </c>
      <c r="Z15">
        <f>HYPERLINK("https://klasma.github.io/Logging_1495/klagomål/A 30080-2023 FSC-klagomål.docx", "A 30080-2023")</f>
        <v/>
      </c>
      <c r="AA15">
        <f>HYPERLINK("https://klasma.github.io/Logging_1495/klagomålsmail/A 30080-2023 FSC-klagomål mail.docx", "A 30080-2023")</f>
        <v/>
      </c>
      <c r="AB15">
        <f>HYPERLINK("https://klasma.github.io/Logging_1495/tillsyn/A 30080-2023 tillsynsbegäran.docx", "A 30080-2023")</f>
        <v/>
      </c>
      <c r="AC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46223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HYPERLINK("https://klasma.github.io/Logging_1495/artfynd/A 19729-2026 artfynd.xlsx", "A 19729-2026")</f>
        <v/>
      </c>
      <c r="W16">
        <f>HYPERLINK("https://klasma.github.io/Logging_1495/kartor/A 19729-2026 karta.png", "A 19729-2026")</f>
        <v/>
      </c>
      <c r="X16">
        <f>HYPERLINK("https://klasma.github.io/Logging_1495/kartor_geotiff/A 19729-2026 georefererad karta.tif", "A 19729-2026")</f>
        <v/>
      </c>
      <c r="Z16">
        <f>HYPERLINK("https://klasma.github.io/Logging_1495/klagomål/A 19729-2026 FSC-klagomål.docx", "A 19729-2026")</f>
        <v/>
      </c>
      <c r="AA16">
        <f>HYPERLINK("https://klasma.github.io/Logging_1495/klagomålsmail/A 19729-2026 FSC-klagomål mail.docx", "A 19729-2026")</f>
        <v/>
      </c>
      <c r="AB16">
        <f>HYPERLINK("https://klasma.github.io/Logging_1495/tillsyn/A 19729-2026 tillsynsbegäran.docx", "A 19729-2026")</f>
        <v/>
      </c>
      <c r="AC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46223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Svinrot</t>
        </is>
      </c>
      <c r="V17">
        <f>HYPERLINK("https://klasma.github.io/Logging_1495/artfynd/A 52041-2023 artfynd.xlsx", "A 52041-2023")</f>
        <v/>
      </c>
      <c r="W17">
        <f>HYPERLINK("https://klasma.github.io/Logging_1495/kartor/A 52041-2023 karta.png", "A 52041-2023")</f>
        <v/>
      </c>
      <c r="X17">
        <f>HYPERLINK("https://klasma.github.io/Logging_1495/kartor_geotiff/A 52041-2023 georefererad karta.tif", "A 52041-2023")</f>
        <v/>
      </c>
      <c r="Z17">
        <f>HYPERLINK("https://klasma.github.io/Logging_1495/klagomål/A 52041-2023 FSC-klagomål.docx", "A 52041-2023")</f>
        <v/>
      </c>
      <c r="AA17">
        <f>HYPERLINK("https://klasma.github.io/Logging_1495/klagomålsmail/A 52041-2023 FSC-klagomål mail.docx", "A 52041-2023")</f>
        <v/>
      </c>
      <c r="AB17">
        <f>HYPERLINK("https://klasma.github.io/Logging_1495/tillsyn/A 52041-2023 tillsynsbegäran.docx", "A 52041-2023")</f>
        <v/>
      </c>
      <c r="AC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46223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HYPERLINK("https://klasma.github.io/Logging_1495/artfynd/A 23455-2026 artfynd.xlsx", "A 23455-2026")</f>
        <v/>
      </c>
      <c r="W18">
        <f>HYPERLINK("https://klasma.github.io/Logging_1495/kartor/A 23455-2026 karta.png", "A 23455-2026")</f>
        <v/>
      </c>
      <c r="X18">
        <f>HYPERLINK("https://klasma.github.io/Logging_1495/kartor_geotiff/A 23455-2026 georefererad karta.tif", "A 23455-2026")</f>
        <v/>
      </c>
      <c r="Z18">
        <f>HYPERLINK("https://klasma.github.io/Logging_1495/klagomål/A 23455-2026 FSC-klagomål.docx", "A 23455-2026")</f>
        <v/>
      </c>
      <c r="AA18">
        <f>HYPERLINK("https://klasma.github.io/Logging_1495/klagomålsmail/A 23455-2026 FSC-klagomål mail.docx", "A 23455-2026")</f>
        <v/>
      </c>
      <c r="AB18">
        <f>HYPERLINK("https://klasma.github.io/Logging_1495/tillsyn/A 23455-2026 tillsynsbegäran.docx", "A 23455-2026")</f>
        <v/>
      </c>
      <c r="AC18">
        <f>HYPERLINK("https://klasma.github.io/Logging_1495/tillsynsmail/A 23455-2026 tillsynsbegäran mail.docx", "A 23455-2026")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46223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X19">
        <f>HYPERLINK("https://klasma.github.io/Logging_1495/kartor_geotiff/S 725-2026 georefererad karta.tif", "S 725-2026")</f>
        <v/>
      </c>
      <c r="Z19">
        <f>HYPERLINK("https://klasma.github.io/Logging_1495/klagomål/S 725-2026 FSC-klagomål.docx", "S 725-2026")</f>
        <v/>
      </c>
      <c r="AA19">
        <f>HYPERLINK("https://klasma.github.io/Logging_1495/klagomålsmail/S 725-2026 FSC-klagomål mail.docx", "S 725-2026")</f>
        <v/>
      </c>
      <c r="AB19">
        <f>HYPERLINK("https://klasma.github.io/Logging_1495/tillsyn/S 725-2026 tillsynsbegäran.docx", "S 725-2026")</f>
        <v/>
      </c>
      <c r="AC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46223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46223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46223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46223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46223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46223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46223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46223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46223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46223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46223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46223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46223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46223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46223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46223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46223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46223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46223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46223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46223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46223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46223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46223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46223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46223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46223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46223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26575-2024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46223</v>
      </c>
      <c r="F48" t="inlineStr">
        <is>
          <t>VÄSTRA GÖTALANDS LÄN</t>
        </is>
      </c>
      <c r="G48" t="inlineStr">
        <is>
          <t>SKARA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26567-2024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46223</v>
      </c>
      <c r="F49" t="inlineStr">
        <is>
          <t>VÄSTRA GÖTALANDS LÄN</t>
        </is>
      </c>
      <c r="G49" t="inlineStr">
        <is>
          <t>SKARA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46223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44587</v>
      </c>
      <c r="E51" s="1" t="n">
        <v>46223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46223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28041-2025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46223</v>
      </c>
      <c r="F53" t="inlineStr">
        <is>
          <t>VÄSTRA GÖTALANDS LÄN</t>
        </is>
      </c>
      <c r="G53" t="inlineStr">
        <is>
          <t>SKARA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29255-2025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46223</v>
      </c>
      <c r="F54" t="inlineStr">
        <is>
          <t>VÄSTRA GÖTALANDS LÄN</t>
        </is>
      </c>
      <c r="G54" t="inlineStr">
        <is>
          <t>SKARA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3144-2023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44946</v>
      </c>
      <c r="E55" s="1" t="n">
        <v>46223</v>
      </c>
      <c r="F55" t="inlineStr">
        <is>
          <t>VÄSTRA GÖTALANDS LÄN</t>
        </is>
      </c>
      <c r="G55" t="inlineStr">
        <is>
          <t>SKARA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16510-2024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45408</v>
      </c>
      <c r="E56" s="1" t="n">
        <v>46223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28738-2025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46223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37032-2025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46223</v>
      </c>
      <c r="F58" t="inlineStr">
        <is>
          <t>VÄSTRA GÖTALANDS LÄN</t>
        </is>
      </c>
      <c r="G58" t="inlineStr">
        <is>
          <t>SKARA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46223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39365-2025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46223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39367-2025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46223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46223</v>
      </c>
      <c r="F62" t="inlineStr">
        <is>
          <t>VÄSTRA GÖTALANDS LÄN</t>
        </is>
      </c>
      <c r="G62" t="inlineStr">
        <is>
          <t>SKARA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46223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18616-2025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46223</v>
      </c>
      <c r="F64" t="inlineStr">
        <is>
          <t>VÄSTRA GÖTALANDS LÄN</t>
        </is>
      </c>
      <c r="G64" t="inlineStr">
        <is>
          <t>SKARA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40264-2024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45554</v>
      </c>
      <c r="E65" s="1" t="n">
        <v>46223</v>
      </c>
      <c r="F65" t="inlineStr">
        <is>
          <t>VÄSTRA GÖTALANDS LÄN</t>
        </is>
      </c>
      <c r="G65" t="inlineStr">
        <is>
          <t>SKARA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46223</v>
      </c>
      <c r="F66" t="inlineStr">
        <is>
          <t>VÄSTRA GÖTALANDS LÄN</t>
        </is>
      </c>
      <c r="G66" t="inlineStr">
        <is>
          <t>SKARA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46223</v>
      </c>
      <c r="F67" t="inlineStr">
        <is>
          <t>VÄSTRA GÖTALANDS LÄN</t>
        </is>
      </c>
      <c r="G67" t="inlineStr">
        <is>
          <t>SKARA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32850-2025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46223</v>
      </c>
      <c r="F68" t="inlineStr">
        <is>
          <t>VÄSTRA GÖTALANDS LÄN</t>
        </is>
      </c>
      <c r="G68" t="inlineStr">
        <is>
          <t>SKARA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46223</v>
      </c>
      <c r="F69" t="inlineStr">
        <is>
          <t>VÄSTRA GÖTALANDS LÄN</t>
        </is>
      </c>
      <c r="G69" t="inlineStr">
        <is>
          <t>SKARA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4306-2023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44953</v>
      </c>
      <c r="E70" s="1" t="n">
        <v>46223</v>
      </c>
      <c r="F70" t="inlineStr">
        <is>
          <t>VÄSTRA GÖTALANDS LÄN</t>
        </is>
      </c>
      <c r="G70" t="inlineStr">
        <is>
          <t>SKARA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33095-2025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46223</v>
      </c>
      <c r="F71" t="inlineStr">
        <is>
          <t>VÄSTRA GÖTALANDS LÄN</t>
        </is>
      </c>
      <c r="G71" t="inlineStr">
        <is>
          <t>SKARA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46223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46223</v>
      </c>
      <c r="F73" t="inlineStr">
        <is>
          <t>VÄSTRA GÖTALANDS LÄN</t>
        </is>
      </c>
      <c r="G73" t="inlineStr">
        <is>
          <t>SKARA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46223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46223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46223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46223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46223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46223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9118-2025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46223</v>
      </c>
      <c r="F80" t="inlineStr">
        <is>
          <t>VÄSTRA GÖTALANDS LÄN</t>
        </is>
      </c>
      <c r="G80" t="inlineStr">
        <is>
          <t>SKARA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18704-2022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46223</v>
      </c>
      <c r="F81" t="inlineStr">
        <is>
          <t>VÄSTRA GÖTALANDS LÄN</t>
        </is>
      </c>
      <c r="G81" t="inlineStr">
        <is>
          <t>SKARA</t>
        </is>
      </c>
      <c r="H81" t="inlineStr">
        <is>
          <t>Kommuner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60233-2023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45258</v>
      </c>
      <c r="E82" s="1" t="n">
        <v>46223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28073-2023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46223</v>
      </c>
      <c r="F83" t="inlineStr">
        <is>
          <t>VÄSTRA GÖTALANDS LÄN</t>
        </is>
      </c>
      <c r="G83" t="inlineStr">
        <is>
          <t>SKARA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46223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60840-2021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46223</v>
      </c>
      <c r="F85" t="inlineStr">
        <is>
          <t>VÄSTRA GÖTALANDS LÄN</t>
        </is>
      </c>
      <c r="G85" t="inlineStr">
        <is>
          <t>SKARA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46223</v>
      </c>
      <c r="F86" t="inlineStr">
        <is>
          <t>VÄSTRA GÖTALANDS LÄN</t>
        </is>
      </c>
      <c r="G86" t="inlineStr">
        <is>
          <t>SKARA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48088-2025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46223</v>
      </c>
      <c r="F87" t="inlineStr">
        <is>
          <t>VÄSTRA GÖTALANDS LÄN</t>
        </is>
      </c>
      <c r="G87" t="inlineStr">
        <is>
          <t>SKARA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60086-2024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46223</v>
      </c>
      <c r="F88" t="inlineStr">
        <is>
          <t>VÄSTRA GÖTALANDS LÄN</t>
        </is>
      </c>
      <c r="G88" t="inlineStr">
        <is>
          <t>SKARA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7233-2023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46223</v>
      </c>
      <c r="F89" t="inlineStr">
        <is>
          <t>VÄSTRA GÖTALANDS LÄN</t>
        </is>
      </c>
      <c r="G89" t="inlineStr">
        <is>
          <t>SKARA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32668-2024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45514</v>
      </c>
      <c r="E90" s="1" t="n">
        <v>46223</v>
      </c>
      <c r="F90" t="inlineStr">
        <is>
          <t>VÄSTRA GÖTALANDS LÄN</t>
        </is>
      </c>
      <c r="G90" t="inlineStr">
        <is>
          <t>SKARA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7522-2026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46223</v>
      </c>
      <c r="F91" t="inlineStr">
        <is>
          <t>VÄSTRA GÖTALANDS LÄN</t>
        </is>
      </c>
      <c r="G91" t="inlineStr">
        <is>
          <t>SKARA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7530-2026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46223</v>
      </c>
      <c r="F92" t="inlineStr">
        <is>
          <t>VÄSTRA GÖTALANDS LÄN</t>
        </is>
      </c>
      <c r="G92" t="inlineStr">
        <is>
          <t>SKARA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7531-2026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46059</v>
      </c>
      <c r="E93" s="1" t="n">
        <v>46223</v>
      </c>
      <c r="F93" t="inlineStr">
        <is>
          <t>VÄSTRA GÖTALANDS LÄN</t>
        </is>
      </c>
      <c r="G93" t="inlineStr">
        <is>
          <t>SKARA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46223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31128-2023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46223</v>
      </c>
      <c r="F95" t="inlineStr">
        <is>
          <t>VÄSTRA GÖTALANDS LÄN</t>
        </is>
      </c>
      <c r="G95" t="inlineStr">
        <is>
          <t>SKARA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10176-2025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45719</v>
      </c>
      <c r="E96" s="1" t="n">
        <v>46223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46223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46223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46223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46223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Kyrkan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27980-2023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46223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42874-2022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44832</v>
      </c>
      <c r="E102" s="1" t="n">
        <v>46223</v>
      </c>
      <c r="F102" t="inlineStr">
        <is>
          <t>VÄSTRA GÖTALANDS LÄN</t>
        </is>
      </c>
      <c r="G102" t="inlineStr">
        <is>
          <t>SKARA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26091-2023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46223</v>
      </c>
      <c r="F103" t="inlineStr">
        <is>
          <t>VÄSTRA GÖTALANDS LÄN</t>
        </is>
      </c>
      <c r="G103" t="inlineStr">
        <is>
          <t>SKARA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9691-2026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46223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45667</v>
      </c>
      <c r="E105" s="1" t="n">
        <v>46223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65095-2023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45288</v>
      </c>
      <c r="E106" s="1" t="n">
        <v>46223</v>
      </c>
      <c r="F106" t="inlineStr">
        <is>
          <t>VÄSTRA GÖTALANDS LÄN</t>
        </is>
      </c>
      <c r="G106" t="inlineStr">
        <is>
          <t>SKARA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46223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56274-2025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46223</v>
      </c>
      <c r="F108" t="inlineStr">
        <is>
          <t>VÄSTRA GÖTALANDS LÄN</t>
        </is>
      </c>
      <c r="G108" t="inlineStr">
        <is>
          <t>SKARA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18739-2023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45043</v>
      </c>
      <c r="E109" s="1" t="n">
        <v>46223</v>
      </c>
      <c r="F109" t="inlineStr">
        <is>
          <t>VÄSTRA GÖTALANDS LÄN</t>
        </is>
      </c>
      <c r="G109" t="inlineStr">
        <is>
          <t>SKARA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12332-2026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46087</v>
      </c>
      <c r="E110" s="1" t="n">
        <v>46223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46223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45492</v>
      </c>
      <c r="E112" s="1" t="n">
        <v>46223</v>
      </c>
      <c r="F112" t="inlineStr">
        <is>
          <t>VÄSTRA GÖTALANDS LÄN</t>
        </is>
      </c>
      <c r="G112" t="inlineStr">
        <is>
          <t>SKARA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13276-2026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46223</v>
      </c>
      <c r="F113" t="inlineStr">
        <is>
          <t>VÄSTRA GÖTALANDS LÄN</t>
        </is>
      </c>
      <c r="G113" t="inlineStr">
        <is>
          <t>SKARA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46223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59842-2022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46223</v>
      </c>
      <c r="F115" t="inlineStr">
        <is>
          <t>VÄSTRA GÖTALANDS LÄN</t>
        </is>
      </c>
      <c r="G115" t="inlineStr">
        <is>
          <t>SKARA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46223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14597-2026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46223</v>
      </c>
      <c r="F117" t="inlineStr">
        <is>
          <t>VÄSTRA GÖTALANDS LÄN</t>
        </is>
      </c>
      <c r="G117" t="inlineStr">
        <is>
          <t>SKARA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30083-2023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46223</v>
      </c>
      <c r="F118" t="inlineStr">
        <is>
          <t>VÄSTRA GÖTALANDS LÄN</t>
        </is>
      </c>
      <c r="G118" t="inlineStr">
        <is>
          <t>SKARA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36041-2023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46223</v>
      </c>
      <c r="F119" t="inlineStr">
        <is>
          <t>VÄSTRA GÖTALANDS LÄN</t>
        </is>
      </c>
      <c r="G119" t="inlineStr">
        <is>
          <t>SKARA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36045-2023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45149</v>
      </c>
      <c r="E120" s="1" t="n">
        <v>46223</v>
      </c>
      <c r="F120" t="inlineStr">
        <is>
          <t>VÄSTRA GÖTALANDS LÄN</t>
        </is>
      </c>
      <c r="G120" t="inlineStr">
        <is>
          <t>SKARA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14577-2026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46223</v>
      </c>
      <c r="F121" t="inlineStr">
        <is>
          <t>VÄSTRA GÖTALANDS LÄN</t>
        </is>
      </c>
      <c r="G121" t="inlineStr">
        <is>
          <t>SKARA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14422-2026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46223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46223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30019-2023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45109</v>
      </c>
      <c r="E124" s="1" t="n">
        <v>46223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30069-2023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46223</v>
      </c>
      <c r="F125" t="inlineStr">
        <is>
          <t>VÄSTRA GÖTALANDS LÄN</t>
        </is>
      </c>
      <c r="G125" t="inlineStr">
        <is>
          <t>SKARA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30079-2023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46223</v>
      </c>
      <c r="F126" t="inlineStr">
        <is>
          <t>VÄSTRA GÖTALANDS LÄN</t>
        </is>
      </c>
      <c r="G126" t="inlineStr">
        <is>
          <t>SKARA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30479-2023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46223</v>
      </c>
      <c r="F127" t="inlineStr">
        <is>
          <t>VÄSTRA GÖTALANDS LÄN</t>
        </is>
      </c>
      <c r="G127" t="inlineStr">
        <is>
          <t>SKARA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46223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15438-2026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46223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15425-2026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46223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16085-2026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46223</v>
      </c>
      <c r="F131" t="inlineStr">
        <is>
          <t>VÄSTRA GÖTALANDS LÄN</t>
        </is>
      </c>
      <c r="G131" t="inlineStr">
        <is>
          <t>SKARA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46223</v>
      </c>
      <c r="F132" t="inlineStr">
        <is>
          <t>VÄSTRA GÖTALANDS LÄN</t>
        </is>
      </c>
      <c r="G132" t="inlineStr">
        <is>
          <t>SKARA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16201-2026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46223</v>
      </c>
      <c r="F133" t="inlineStr">
        <is>
          <t>VÄSTRA GÖTALANDS LÄN</t>
        </is>
      </c>
      <c r="G133" t="inlineStr">
        <is>
          <t>SKARA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16187-2026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46223</v>
      </c>
      <c r="F134" t="inlineStr">
        <is>
          <t>VÄSTRA GÖTALANDS LÄN</t>
        </is>
      </c>
      <c r="G134" t="inlineStr">
        <is>
          <t>SKARA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16198-2026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46223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16755-2026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46223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46223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30513-2024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45492</v>
      </c>
      <c r="E138" s="1" t="n">
        <v>46223</v>
      </c>
      <c r="F138" t="inlineStr">
        <is>
          <t>VÄSTRA GÖTALANDS LÄN</t>
        </is>
      </c>
      <c r="G138" t="inlineStr">
        <is>
          <t>SKARA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17288-2026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46223</v>
      </c>
      <c r="F139" t="inlineStr">
        <is>
          <t>VÄSTRA GÖTALANDS LÄN</t>
        </is>
      </c>
      <c r="G139" t="inlineStr">
        <is>
          <t>SKARA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27265-2023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46223</v>
      </c>
      <c r="F140" t="inlineStr">
        <is>
          <t>VÄSTRA GÖTALANDS LÄN</t>
        </is>
      </c>
      <c r="G140" t="inlineStr">
        <is>
          <t>SKARA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37036-2024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46223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41602-2023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46223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18890-2026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46223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15927-2023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46223</v>
      </c>
      <c r="F144" t="inlineStr">
        <is>
          <t>VÄSTRA GÖTALANDS LÄN</t>
        </is>
      </c>
      <c r="G144" t="inlineStr">
        <is>
          <t>SKARA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25153-2024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46223</v>
      </c>
      <c r="F145" t="inlineStr">
        <is>
          <t>VÄSTRA GÖTALANDS LÄN</t>
        </is>
      </c>
      <c r="G145" t="inlineStr">
        <is>
          <t>SKARA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26480-2024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46223</v>
      </c>
      <c r="F146" t="inlineStr">
        <is>
          <t>VÄSTRA GÖTALANDS LÄN</t>
        </is>
      </c>
      <c r="G146" t="inlineStr">
        <is>
          <t>SKARA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26482-2024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46223</v>
      </c>
      <c r="F147" t="inlineStr">
        <is>
          <t>VÄSTRA GÖTALANDS LÄN</t>
        </is>
      </c>
      <c r="G147" t="inlineStr">
        <is>
          <t>SKARA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19950-2026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46136</v>
      </c>
      <c r="E148" s="1" t="n">
        <v>46223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38548-2025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46223</v>
      </c>
      <c r="F149" t="inlineStr">
        <is>
          <t>VÄSTRA GÖTALANDS LÄN</t>
        </is>
      </c>
      <c r="G149" t="inlineStr">
        <is>
          <t>SKARA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45763</v>
      </c>
      <c r="E150" s="1" t="n">
        <v>46223</v>
      </c>
      <c r="F150" t="inlineStr">
        <is>
          <t>VÄSTRA GÖTALANDS LÄN</t>
        </is>
      </c>
      <c r="G150" t="inlineStr">
        <is>
          <t>SKARA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46223</v>
      </c>
      <c r="F151" t="inlineStr">
        <is>
          <t>VÄSTRA GÖTALANDS LÄN</t>
        </is>
      </c>
      <c r="G151" t="inlineStr">
        <is>
          <t>SKARA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46185-2023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46223</v>
      </c>
      <c r="F152" t="inlineStr">
        <is>
          <t>VÄSTRA GÖTALANDS LÄN</t>
        </is>
      </c>
      <c r="G152" t="inlineStr">
        <is>
          <t>SKARA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45159-2022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46223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26084-2023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45091</v>
      </c>
      <c r="E154" s="1" t="n">
        <v>46223</v>
      </c>
      <c r="F154" t="inlineStr">
        <is>
          <t>VÄSTRA GÖTALANDS LÄN</t>
        </is>
      </c>
      <c r="G154" t="inlineStr">
        <is>
          <t>SKARA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26333-2026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46223</v>
      </c>
      <c r="F155" t="inlineStr">
        <is>
          <t>VÄSTRA GÖTALANDS LÄN</t>
        </is>
      </c>
      <c r="G155" t="inlineStr">
        <is>
          <t>SKARA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25407-2025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46223</v>
      </c>
      <c r="F156" t="inlineStr">
        <is>
          <t>VÄSTRA GÖTALANDS LÄN</t>
        </is>
      </c>
      <c r="G156" t="inlineStr">
        <is>
          <t>SKARA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46223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20870-2022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46223</v>
      </c>
      <c r="F158" t="inlineStr">
        <is>
          <t>VÄSTRA GÖTALANDS LÄN</t>
        </is>
      </c>
      <c r="G158" t="inlineStr">
        <is>
          <t>SKARA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20098-2022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46223</v>
      </c>
      <c r="F159" t="inlineStr">
        <is>
          <t>VÄSTRA GÖTALANDS LÄN</t>
        </is>
      </c>
      <c r="G159" t="inlineStr">
        <is>
          <t>SKARA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46223</v>
      </c>
      <c r="F160" t="inlineStr">
        <is>
          <t>VÄSTRA GÖTALANDS LÄN</t>
        </is>
      </c>
      <c r="G160" t="inlineStr">
        <is>
          <t>SKARA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10913-2024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46223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27478-2026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46189</v>
      </c>
      <c r="E162" s="1" t="n">
        <v>46223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46223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46223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18701-2022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44687</v>
      </c>
      <c r="E165" s="1" t="n">
        <v>46223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46190-2023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46223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41562-2022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46223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46223</v>
      </c>
      <c r="F168" t="inlineStr">
        <is>
          <t>VÄSTRA GÖTALANDS LÄN</t>
        </is>
      </c>
      <c r="G168" t="inlineStr">
        <is>
          <t>SKARA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46223</v>
      </c>
      <c r="F169" t="inlineStr">
        <is>
          <t>VÄSTRA GÖTALANDS LÄN</t>
        </is>
      </c>
      <c r="G169" t="inlineStr">
        <is>
          <t>SKARA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44909</v>
      </c>
      <c r="E170" s="1" t="n">
        <v>46223</v>
      </c>
      <c r="F170" t="inlineStr">
        <is>
          <t>VÄSTRA GÖTALANDS LÄN</t>
        </is>
      </c>
      <c r="G170" t="inlineStr">
        <is>
          <t>SKARA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46223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46223</v>
      </c>
      <c r="F172" t="inlineStr">
        <is>
          <t>VÄSTRA GÖTALANDS LÄN</t>
        </is>
      </c>
      <c r="G172" t="inlineStr">
        <is>
          <t>SKARA</t>
        </is>
      </c>
      <c r="I172" t="n">
        <v>13.5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55246-2022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46223</v>
      </c>
      <c r="F173" t="inlineStr">
        <is>
          <t>VÄSTRA GÖTALANDS LÄN</t>
        </is>
      </c>
      <c r="G173" t="inlineStr">
        <is>
          <t>SKARA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50043-2023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46223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46223</v>
      </c>
      <c r="F175" t="inlineStr">
        <is>
          <t>VÄSTRA GÖTALANDS LÄN</t>
        </is>
      </c>
      <c r="G175" t="inlineStr">
        <is>
          <t>SKARA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46223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46223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46223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46223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64553-2023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46223</v>
      </c>
      <c r="F180" t="inlineStr">
        <is>
          <t>VÄSTRA GÖTALANDS LÄN</t>
        </is>
      </c>
      <c r="G180" t="inlineStr">
        <is>
          <t>SKARA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46223</v>
      </c>
      <c r="F181" t="inlineStr">
        <is>
          <t>VÄSTRA GÖTALANDS LÄN</t>
        </is>
      </c>
      <c r="G181" t="inlineStr">
        <is>
          <t>SKARA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23457-2026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46223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35217-2023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46223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46223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23452-2026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46223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24142-2026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46223</v>
      </c>
      <c r="F186" t="inlineStr">
        <is>
          <t>VÄSTRA GÖTALANDS LÄN</t>
        </is>
      </c>
      <c r="G186" t="inlineStr">
        <is>
          <t>SKARA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24143-2026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46223</v>
      </c>
      <c r="F187" t="inlineStr">
        <is>
          <t>VÄSTRA GÖTALANDS LÄN</t>
        </is>
      </c>
      <c r="G187" t="inlineStr">
        <is>
          <t>SKARA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43564-2021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44433</v>
      </c>
      <c r="E188" s="1" t="n">
        <v>46223</v>
      </c>
      <c r="F188" t="inlineStr">
        <is>
          <t>VÄSTRA GÖTALANDS LÄN</t>
        </is>
      </c>
      <c r="G188" t="inlineStr">
        <is>
          <t>SKARA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12889-2022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44642</v>
      </c>
      <c r="E189" s="1" t="n">
        <v>46223</v>
      </c>
      <c r="F189" t="inlineStr">
        <is>
          <t>VÄSTRA GÖTALANDS LÄN</t>
        </is>
      </c>
      <c r="G189" t="inlineStr">
        <is>
          <t>SKARA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26268-2023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46223</v>
      </c>
      <c r="F190" t="inlineStr">
        <is>
          <t>VÄSTRA GÖTALANDS LÄN</t>
        </is>
      </c>
      <c r="G190" t="inlineStr">
        <is>
          <t>SKARA</t>
        </is>
      </c>
      <c r="I190" t="n">
        <v>21.6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24145-2026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46223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46223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46223</v>
      </c>
      <c r="F193" t="inlineStr">
        <is>
          <t>VÄSTRA GÖTALANDS LÄN</t>
        </is>
      </c>
      <c r="G193" t="inlineStr">
        <is>
          <t>SKARA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46223</v>
      </c>
      <c r="F194" t="inlineStr">
        <is>
          <t>VÄSTRA GÖTALANDS LÄN</t>
        </is>
      </c>
      <c r="G194" t="inlineStr">
        <is>
          <t>SKARA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29478-2026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46203</v>
      </c>
      <c r="E195" s="1" t="n">
        <v>46223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46223</v>
      </c>
      <c r="F196" t="inlineStr">
        <is>
          <t>VÄSTRA GÖTALANDS LÄN</t>
        </is>
      </c>
      <c r="G196" t="inlineStr">
        <is>
          <t>SKARA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55211-2024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46223</v>
      </c>
      <c r="F197" t="inlineStr">
        <is>
          <t>VÄSTRA GÖTALANDS LÄN</t>
        </is>
      </c>
      <c r="G197" t="inlineStr">
        <is>
          <t>SKARA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46223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8781-2024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46223</v>
      </c>
      <c r="F199" t="inlineStr">
        <is>
          <t>VÄSTRA GÖTALANDS LÄN</t>
        </is>
      </c>
      <c r="G199" t="inlineStr">
        <is>
          <t>SKARA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55247-2022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46223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27668-2022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44743</v>
      </c>
      <c r="E201" s="1" t="n">
        <v>46223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46223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46223</v>
      </c>
      <c r="F203" t="inlineStr">
        <is>
          <t>VÄSTRA GÖTALANDS LÄN</t>
        </is>
      </c>
      <c r="G203" t="inlineStr">
        <is>
          <t>SKARA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17705-2025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46223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46223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46223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46223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46223</v>
      </c>
      <c r="F208" t="inlineStr">
        <is>
          <t>VÄSTRA GÖTALANDS LÄN</t>
        </is>
      </c>
      <c r="G208" t="inlineStr">
        <is>
          <t>SKARA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46223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46223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46223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46223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2026-07-20T01:48:50Z</dcterms:created>
  <dcterms:modified xmlns:dcterms="http://purl.org/dc/terms/" xmlns:xsi="http://www.w3.org/2001/XMLSchema-instance" xsi:type="dcterms:W3CDTF">2026-07-20T01:48:51Z</dcterms:modified>
</cp:coreProperties>
</file>