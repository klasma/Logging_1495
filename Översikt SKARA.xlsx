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46254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23455-2026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46254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HYPERLINK("https://klasma.github.io/Logging_1495/artfynd/A 23455-2026 artfynd.xlsx", "A 23455-2026")</f>
        <v/>
      </c>
      <c r="X13">
        <f>HYPERLINK("https://klasma.github.io/Logging_1495/kartor/A 23455-2026 karta.png", "A 23455-2026")</f>
        <v/>
      </c>
      <c r="Y13">
        <f>HYPERLINK("https://klasma.github.io/Logging_1495/kartor_geotiff/A 23455-2026 georefererad karta.tif", "A 23455-2026")</f>
        <v/>
      </c>
      <c r="AA13">
        <f>HYPERLINK("https://klasma.github.io/Logging_1495/klagomål/A 23455-2026 FSC-klagomål.docx", "A 23455-2026")</f>
        <v/>
      </c>
      <c r="AB13">
        <f>HYPERLINK("https://klasma.github.io/Logging_1495/klagomålsmail/A 23455-2026 FSC-klagomål mail.docx", "A 23455-2026")</f>
        <v/>
      </c>
      <c r="AC13">
        <f>HYPERLINK("https://klasma.github.io/Logging_1495/tillsyn/A 23455-2026 tillsynsbegäran.docx", "A 23455-2026")</f>
        <v/>
      </c>
      <c r="AD13">
        <f>HYPERLINK("https://klasma.github.io/Logging_1495/tillsynsmail/A 23455-2026 tillsynsbegäran mail.docx", "A 23455-2026")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46254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31736-2026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46227</v>
      </c>
      <c r="E15" s="1" t="n">
        <v>46254</v>
      </c>
      <c r="F15" t="inlineStr">
        <is>
          <t>VÄSTRA GÖTALANDS LÄN</t>
        </is>
      </c>
      <c r="G15" t="inlineStr">
        <is>
          <t>SKARA</t>
        </is>
      </c>
      <c r="I15" t="n">
        <v>2.2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Dvärghäxört</t>
        </is>
      </c>
      <c r="W15">
        <f>HYPERLINK("https://klasma.github.io/Logging_1495/artfynd/A 31736-2026 artfynd.xlsx", "A 31736-2026")</f>
        <v/>
      </c>
      <c r="X15">
        <f>HYPERLINK("https://klasma.github.io/Logging_1495/kartor/A 31736-2026 karta.png", "A 31736-2026")</f>
        <v/>
      </c>
      <c r="Y15">
        <f>HYPERLINK("https://klasma.github.io/Logging_1495/kartor_geotiff/A 31736-2026 georefererad karta.tif", "A 31736-2026")</f>
        <v/>
      </c>
      <c r="AA15">
        <f>HYPERLINK("https://klasma.github.io/Logging_1495/klagomål/A 31736-2026 FSC-klagomål.docx", "A 31736-2026")</f>
        <v/>
      </c>
      <c r="AB15">
        <f>HYPERLINK("https://klasma.github.io/Logging_1495/klagomålsmail/A 31736-2026 FSC-klagomål mail.docx", "A 31736-2026")</f>
        <v/>
      </c>
      <c r="AC15">
        <f>HYPERLINK("https://klasma.github.io/Logging_1495/tillsyn/A 31736-2026 tillsynsbegäran.docx", "A 31736-2026")</f>
        <v/>
      </c>
      <c r="AD15">
        <f>HYPERLINK("https://klasma.github.io/Logging_1495/tillsynsmail/A 31736-2026 tillsynsbegäran mail.docx", "A 31736-2026")</f>
        <v/>
      </c>
    </row>
    <row r="16" ht="15" customHeight="1">
      <c r="A16" t="inlineStr">
        <is>
          <t>A 55928-2025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46254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5.1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HYPERLINK("https://klasma.github.io/Logging_1495/artfynd/A 55928-2025 artfynd.xlsx", "A 55928-2025")</f>
        <v/>
      </c>
      <c r="X16">
        <f>HYPERLINK("https://klasma.github.io/Logging_1495/kartor/A 55928-2025 karta.png", "A 55928-2025")</f>
        <v/>
      </c>
      <c r="Y16">
        <f>HYPERLINK("https://klasma.github.io/Logging_1495/kartor_geotiff/A 55928-2025 georefererad karta.tif", "A 55928-2025")</f>
        <v/>
      </c>
      <c r="AA16">
        <f>HYPERLINK("https://klasma.github.io/Logging_1495/klagomål/A 55928-2025 FSC-klagomål.docx", "A 55928-2025")</f>
        <v/>
      </c>
      <c r="AB16">
        <f>HYPERLINK("https://klasma.github.io/Logging_1495/klagomålsmail/A 55928-2025 FSC-klagomål mail.docx", "A 55928-2025")</f>
        <v/>
      </c>
      <c r="AC16">
        <f>HYPERLINK("https://klasma.github.io/Logging_1495/tillsyn/A 55928-2025 tillsynsbegäran.docx", "A 55928-2025")</f>
        <v/>
      </c>
      <c r="AD16">
        <f>HYPERLINK("https://klasma.github.io/Logging_1495/tillsynsmail/A 55928-2025 tillsynsbegäran mail.docx", "A 55928-2025")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46254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46254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46254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46254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46254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46254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46254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46254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46254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46254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46254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46254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46254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46254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46254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46254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46254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46254</v>
      </c>
      <c r="F42" t="inlineStr">
        <is>
          <t>VÄSTRA GÖTALANDS LÄN</t>
        </is>
      </c>
      <c r="G42" t="inlineStr">
        <is>
          <t>SKARA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45180</v>
      </c>
      <c r="E43" s="1" t="n">
        <v>46254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46254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46254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46254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46254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44908</v>
      </c>
      <c r="E48" s="1" t="n">
        <v>46254</v>
      </c>
      <c r="F48" t="inlineStr">
        <is>
          <t>VÄSTRA GÖTALANDS LÄN</t>
        </is>
      </c>
      <c r="G48" t="inlineStr">
        <is>
          <t>SKARA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46254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46254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46254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46254</v>
      </c>
      <c r="F52" t="inlineStr">
        <is>
          <t>VÄSTRA GÖTALANDS LÄN</t>
        </is>
      </c>
      <c r="G52" t="inlineStr">
        <is>
          <t>SKARA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46254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46254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46254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46254</v>
      </c>
      <c r="F56" t="inlineStr">
        <is>
          <t>VÄSTRA GÖTALANDS LÄN</t>
        </is>
      </c>
      <c r="G56" t="inlineStr">
        <is>
          <t>SKARA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46254</v>
      </c>
      <c r="F57" t="inlineStr">
        <is>
          <t>VÄSTRA GÖTALANDS LÄN</t>
        </is>
      </c>
      <c r="G57" t="inlineStr">
        <is>
          <t>SKARA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46254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45687</v>
      </c>
      <c r="E59" s="1" t="n">
        <v>46254</v>
      </c>
      <c r="F59" t="inlineStr">
        <is>
          <t>VÄSTRA GÖTALANDS LÄN</t>
        </is>
      </c>
      <c r="G59" t="inlineStr">
        <is>
          <t>SKARA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46254</v>
      </c>
      <c r="F60" t="inlineStr">
        <is>
          <t>VÄSTRA GÖTALANDS LÄN</t>
        </is>
      </c>
      <c r="G60" t="inlineStr">
        <is>
          <t>SKARA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46254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46254</v>
      </c>
      <c r="F62" t="inlineStr">
        <is>
          <t>VÄSTRA GÖTALANDS LÄN</t>
        </is>
      </c>
      <c r="G62" t="inlineStr">
        <is>
          <t>SKARA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46254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45385</v>
      </c>
      <c r="E64" s="1" t="n">
        <v>46254</v>
      </c>
      <c r="F64" t="inlineStr">
        <is>
          <t>VÄSTRA GÖTALANDS LÄN</t>
        </is>
      </c>
      <c r="G64" t="inlineStr">
        <is>
          <t>SKARA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46254</v>
      </c>
      <c r="F65" t="inlineStr">
        <is>
          <t>VÄSTRA GÖTALANDS LÄN</t>
        </is>
      </c>
      <c r="G65" t="inlineStr">
        <is>
          <t>SKARA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46254</v>
      </c>
      <c r="F66" t="inlineStr">
        <is>
          <t>VÄSTRA GÖTALANDS LÄN</t>
        </is>
      </c>
      <c r="G66" t="inlineStr">
        <is>
          <t>SKARA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46254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46254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46254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44856</v>
      </c>
      <c r="E70" s="1" t="n">
        <v>46254</v>
      </c>
      <c r="F70" t="inlineStr">
        <is>
          <t>VÄSTRA GÖTALANDS LÄN</t>
        </is>
      </c>
      <c r="G70" t="inlineStr">
        <is>
          <t>SKARA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46254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46254</v>
      </c>
      <c r="F72" t="inlineStr">
        <is>
          <t>VÄSTRA GÖTALANDS LÄN</t>
        </is>
      </c>
      <c r="G72" t="inlineStr">
        <is>
          <t>SKARA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45091</v>
      </c>
      <c r="E73" s="1" t="n">
        <v>46254</v>
      </c>
      <c r="F73" t="inlineStr">
        <is>
          <t>VÄSTRA GÖTALANDS LÄN</t>
        </is>
      </c>
      <c r="G73" t="inlineStr">
        <is>
          <t>SKARA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45335</v>
      </c>
      <c r="E74" s="1" t="n">
        <v>46254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46254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46254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46254</v>
      </c>
      <c r="F77" t="inlineStr">
        <is>
          <t>VÄSTRA GÖTALANDS LÄN</t>
        </is>
      </c>
      <c r="G77" t="inlineStr">
        <is>
          <t>SKARA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46254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46254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46254</v>
      </c>
      <c r="F80" t="inlineStr">
        <is>
          <t>VÄSTRA GÖTALANDS LÄN</t>
        </is>
      </c>
      <c r="G80" t="inlineStr">
        <is>
          <t>SKARA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46254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46254</v>
      </c>
      <c r="F82" t="inlineStr">
        <is>
          <t>VÄSTRA GÖTALANDS LÄN</t>
        </is>
      </c>
      <c r="G82" t="inlineStr">
        <is>
          <t>SKARA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46254</v>
      </c>
      <c r="F83" t="inlineStr">
        <is>
          <t>VÄSTRA GÖTALANDS LÄN</t>
        </is>
      </c>
      <c r="G83" t="inlineStr">
        <is>
          <t>SKARA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46254</v>
      </c>
      <c r="F84" t="inlineStr">
        <is>
          <t>VÄSTRA GÖTALANDS LÄN</t>
        </is>
      </c>
      <c r="G84" t="inlineStr">
        <is>
          <t>SKARA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45492</v>
      </c>
      <c r="E85" s="1" t="n">
        <v>46254</v>
      </c>
      <c r="F85" t="inlineStr">
        <is>
          <t>VÄSTRA GÖTALANDS LÄN</t>
        </is>
      </c>
      <c r="G85" t="inlineStr">
        <is>
          <t>SKARA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46254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44990</v>
      </c>
      <c r="E87" s="1" t="n">
        <v>46254</v>
      </c>
      <c r="F87" t="inlineStr">
        <is>
          <t>VÄSTRA GÖTALANDS LÄN</t>
        </is>
      </c>
      <c r="G87" t="inlineStr">
        <is>
          <t>SKARA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45621</v>
      </c>
      <c r="E88" s="1" t="n">
        <v>46254</v>
      </c>
      <c r="F88" t="inlineStr">
        <is>
          <t>VÄSTRA GÖTALANDS LÄN</t>
        </is>
      </c>
      <c r="G88" t="inlineStr">
        <is>
          <t>SKARA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45628</v>
      </c>
      <c r="E89" s="1" t="n">
        <v>46254</v>
      </c>
      <c r="F89" t="inlineStr">
        <is>
          <t>VÄSTRA GÖTALANDS LÄN</t>
        </is>
      </c>
      <c r="G89" t="inlineStr">
        <is>
          <t>SKARA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46254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46254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46254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46254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45713</v>
      </c>
      <c r="E94" s="1" t="n">
        <v>46254</v>
      </c>
      <c r="F94" t="inlineStr">
        <is>
          <t>VÄSTRA GÖTALANDS LÄN</t>
        </is>
      </c>
      <c r="G94" t="inlineStr">
        <is>
          <t>SKARA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46254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46163</v>
      </c>
      <c r="E96" s="1" t="n">
        <v>46254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46254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46168</v>
      </c>
      <c r="E98" s="1" t="n">
        <v>46254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46254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46168</v>
      </c>
      <c r="E100" s="1" t="n">
        <v>46254</v>
      </c>
      <c r="F100" t="inlineStr">
        <is>
          <t>VÄSTRA GÖTALANDS LÄN</t>
        </is>
      </c>
      <c r="G100" t="inlineStr">
        <is>
          <t>SKARA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46168</v>
      </c>
      <c r="E101" s="1" t="n">
        <v>46254</v>
      </c>
      <c r="F101" t="inlineStr">
        <is>
          <t>VÄSTRA GÖTALANDS LÄN</t>
        </is>
      </c>
      <c r="G101" t="inlineStr">
        <is>
          <t>SKARA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43564-2021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46254</v>
      </c>
      <c r="F102" t="inlineStr">
        <is>
          <t>VÄSTRA GÖTALANDS LÄN</t>
        </is>
      </c>
      <c r="G102" t="inlineStr">
        <is>
          <t>SKARA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46168</v>
      </c>
      <c r="E103" s="1" t="n">
        <v>46254</v>
      </c>
      <c r="F103" t="inlineStr">
        <is>
          <t>VÄSTRA GÖTALANDS LÄN</t>
        </is>
      </c>
      <c r="G103" t="inlineStr">
        <is>
          <t>SKARA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45924</v>
      </c>
      <c r="E104" s="1" t="n">
        <v>46254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Kyrkan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46211-2025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45924</v>
      </c>
      <c r="E105" s="1" t="n">
        <v>46254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45924</v>
      </c>
      <c r="E106" s="1" t="n">
        <v>46254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Kyrkan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45924</v>
      </c>
      <c r="E107" s="1" t="n">
        <v>46254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Kyrkan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46254</v>
      </c>
      <c r="F108" t="inlineStr">
        <is>
          <t>VÄSTRA GÖTALANDS LÄN</t>
        </is>
      </c>
      <c r="G108" t="inlineStr">
        <is>
          <t>SKARA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46254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46254</v>
      </c>
      <c r="F110" t="inlineStr">
        <is>
          <t>VÄSTRA GÖTALANDS LÄN</t>
        </is>
      </c>
      <c r="G110" t="inlineStr">
        <is>
          <t>SKARA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46254</v>
      </c>
      <c r="F111" t="inlineStr">
        <is>
          <t>VÄSTRA GÖTALANDS LÄN</t>
        </is>
      </c>
      <c r="G111" t="inlineStr">
        <is>
          <t>SKARA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46254</v>
      </c>
      <c r="F112" t="inlineStr">
        <is>
          <t>VÄSTRA GÖTALANDS LÄN</t>
        </is>
      </c>
      <c r="G112" t="inlineStr">
        <is>
          <t>SKARA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46254</v>
      </c>
      <c r="F113" t="inlineStr">
        <is>
          <t>VÄSTRA GÖTALANDS LÄN</t>
        </is>
      </c>
      <c r="G113" t="inlineStr">
        <is>
          <t>SKARA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46182</v>
      </c>
      <c r="E114" s="1" t="n">
        <v>46254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45945</v>
      </c>
      <c r="E115" s="1" t="n">
        <v>46254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60840-2021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44497</v>
      </c>
      <c r="E116" s="1" t="n">
        <v>46254</v>
      </c>
      <c r="F116" t="inlineStr">
        <is>
          <t>VÄSTRA GÖTALANDS LÄN</t>
        </is>
      </c>
      <c r="G116" t="inlineStr">
        <is>
          <t>SKARA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46189</v>
      </c>
      <c r="E117" s="1" t="n">
        <v>46254</v>
      </c>
      <c r="F117" t="inlineStr">
        <is>
          <t>VÄSTRA GÖTALANDS LÄN</t>
        </is>
      </c>
      <c r="G117" t="inlineStr">
        <is>
          <t>SKARA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46254</v>
      </c>
      <c r="F118" t="inlineStr">
        <is>
          <t>VÄSTRA GÖTALANDS LÄN</t>
        </is>
      </c>
      <c r="G118" t="inlineStr">
        <is>
          <t>SKARA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46254</v>
      </c>
      <c r="F119" t="inlineStr">
        <is>
          <t>VÄSTRA GÖTALANDS LÄN</t>
        </is>
      </c>
      <c r="G119" t="inlineStr">
        <is>
          <t>SKARA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46254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46254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46254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46254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46254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46254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Kyrkan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64553-2023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46254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46254</v>
      </c>
      <c r="F127" t="inlineStr">
        <is>
          <t>VÄSTRA GÖTALANDS LÄN</t>
        </is>
      </c>
      <c r="G127" t="inlineStr">
        <is>
          <t>SKARA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46246</v>
      </c>
      <c r="E128" s="1" t="n">
        <v>46254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Kyrkan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46254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46254</v>
      </c>
      <c r="F130" t="inlineStr">
        <is>
          <t>VÄSTRA GÖTALANDS LÄN</t>
        </is>
      </c>
      <c r="G130" t="inlineStr">
        <is>
          <t>SKARA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46203</v>
      </c>
      <c r="E131" s="1" t="n">
        <v>46254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Kyrkan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46254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46254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46254</v>
      </c>
      <c r="F134" t="inlineStr">
        <is>
          <t>VÄSTRA GÖTALANDS LÄN</t>
        </is>
      </c>
      <c r="G134" t="inlineStr">
        <is>
          <t>SKARA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46254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46254</v>
      </c>
      <c r="F136" t="inlineStr">
        <is>
          <t>VÄSTRA GÖTALANDS LÄN</t>
        </is>
      </c>
      <c r="G136" t="inlineStr">
        <is>
          <t>SKARA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46247</v>
      </c>
      <c r="E137" s="1" t="n">
        <v>46254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44687</v>
      </c>
      <c r="E138" s="1" t="n">
        <v>46254</v>
      </c>
      <c r="F138" t="inlineStr">
        <is>
          <t>VÄSTRA GÖTALANDS LÄN</t>
        </is>
      </c>
      <c r="G138" t="inlineStr">
        <is>
          <t>SKARA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46254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46254</v>
      </c>
      <c r="F140" t="inlineStr">
        <is>
          <t>VÄSTRA GÖTALANDS LÄN</t>
        </is>
      </c>
      <c r="G140" t="inlineStr">
        <is>
          <t>SKARA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44957</v>
      </c>
      <c r="E141" s="1" t="n">
        <v>46254</v>
      </c>
      <c r="F141" t="inlineStr">
        <is>
          <t>VÄSTRA GÖTALANDS LÄN</t>
        </is>
      </c>
      <c r="G141" t="inlineStr">
        <is>
          <t>SKARA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46254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44496</v>
      </c>
      <c r="E143" s="1" t="n">
        <v>46254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46254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46254</v>
      </c>
      <c r="F145" t="inlineStr">
        <is>
          <t>VÄSTRA GÖTALANDS LÄN</t>
        </is>
      </c>
      <c r="G145" t="inlineStr">
        <is>
          <t>SKARA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46254</v>
      </c>
      <c r="F146" t="inlineStr">
        <is>
          <t>VÄSTRA GÖTALANDS LÄN</t>
        </is>
      </c>
      <c r="G146" t="inlineStr">
        <is>
          <t>SKARA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46254</v>
      </c>
      <c r="F147" t="inlineStr">
        <is>
          <t>VÄSTRA GÖTALANDS LÄN</t>
        </is>
      </c>
      <c r="G147" t="inlineStr">
        <is>
          <t>SKARA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46254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46254</v>
      </c>
      <c r="F149" t="inlineStr">
        <is>
          <t>VÄSTRA GÖTALANDS LÄN</t>
        </is>
      </c>
      <c r="G149" t="inlineStr">
        <is>
          <t>SKARA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45314</v>
      </c>
      <c r="E150" s="1" t="n">
        <v>46254</v>
      </c>
      <c r="F150" t="inlineStr">
        <is>
          <t>VÄSTRA GÖTALANDS LÄN</t>
        </is>
      </c>
      <c r="G150" t="inlineStr">
        <is>
          <t>SKARA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46254</v>
      </c>
      <c r="F151" t="inlineStr">
        <is>
          <t>VÄSTRA GÖTALANDS LÄN</t>
        </is>
      </c>
      <c r="G151" t="inlineStr">
        <is>
          <t>SKARA</t>
        </is>
      </c>
      <c r="I151" t="n">
        <v>13.5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46254</v>
      </c>
      <c r="F152" t="inlineStr">
        <is>
          <t>VÄSTRA GÖTALANDS LÄN</t>
        </is>
      </c>
      <c r="G152" t="inlineStr">
        <is>
          <t>SKARA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27668-2022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44743</v>
      </c>
      <c r="E153" s="1" t="n">
        <v>46254</v>
      </c>
      <c r="F153" t="inlineStr">
        <is>
          <t>VÄSTRA GÖTALANDS LÄN</t>
        </is>
      </c>
      <c r="G153" t="inlineStr">
        <is>
          <t>SKARA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46254</v>
      </c>
      <c r="F154" t="inlineStr">
        <is>
          <t>VÄSTRA GÖTALANDS LÄN</t>
        </is>
      </c>
      <c r="G154" t="inlineStr">
        <is>
          <t>SKARA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46254</v>
      </c>
      <c r="F155" t="inlineStr">
        <is>
          <t>VÄSTRA GÖTALANDS LÄN</t>
        </is>
      </c>
      <c r="G155" t="inlineStr">
        <is>
          <t>SKARA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46254</v>
      </c>
      <c r="F156" t="inlineStr">
        <is>
          <t>VÄSTRA GÖTALANDS LÄN</t>
        </is>
      </c>
      <c r="G156" t="inlineStr">
        <is>
          <t>SKARA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46254</v>
      </c>
      <c r="F157" t="inlineStr">
        <is>
          <t>VÄSTRA GÖTALANDS LÄN</t>
        </is>
      </c>
      <c r="G157" t="inlineStr">
        <is>
          <t>SKARA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46254</v>
      </c>
      <c r="F158" t="inlineStr">
        <is>
          <t>VÄSTRA GÖTALANDS LÄN</t>
        </is>
      </c>
      <c r="G158" t="inlineStr">
        <is>
          <t>SKARA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46254</v>
      </c>
      <c r="F159" t="inlineStr">
        <is>
          <t>VÄSTRA GÖTALANDS LÄN</t>
        </is>
      </c>
      <c r="G159" t="inlineStr">
        <is>
          <t>SKARA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46254</v>
      </c>
      <c r="F160" t="inlineStr">
        <is>
          <t>VÄSTRA GÖTALANDS LÄN</t>
        </is>
      </c>
      <c r="G160" t="inlineStr">
        <is>
          <t>SKARA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46254</v>
      </c>
      <c r="F161" t="inlineStr">
        <is>
          <t>VÄSTRA GÖTALANDS LÄN</t>
        </is>
      </c>
      <c r="G161" t="inlineStr">
        <is>
          <t>SKARA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46254</v>
      </c>
      <c r="F162" t="inlineStr">
        <is>
          <t>VÄSTRA GÖTALANDS LÄN</t>
        </is>
      </c>
      <c r="G162" t="inlineStr">
        <is>
          <t>SKARA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46254</v>
      </c>
      <c r="F163" t="inlineStr">
        <is>
          <t>VÄSTRA GÖTALANDS LÄN</t>
        </is>
      </c>
      <c r="G163" t="inlineStr">
        <is>
          <t>SKARA</t>
        </is>
      </c>
      <c r="I163" t="n">
        <v>21.6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46254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46254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46254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65124-2023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45288</v>
      </c>
      <c r="E167" s="1" t="n">
        <v>46254</v>
      </c>
      <c r="F167" t="inlineStr">
        <is>
          <t>VÄSTRA GÖTALANDS LÄN</t>
        </is>
      </c>
      <c r="G167" t="inlineStr">
        <is>
          <t>SKARA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45224</v>
      </c>
      <c r="E168" s="1" t="n">
        <v>46254</v>
      </c>
      <c r="F168" t="inlineStr">
        <is>
          <t>VÄSTRA GÖTALANDS LÄN</t>
        </is>
      </c>
      <c r="G168" t="inlineStr">
        <is>
          <t>SKARA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12332-2026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46087</v>
      </c>
      <c r="E169" s="1" t="n">
        <v>46254</v>
      </c>
      <c r="F169" t="inlineStr">
        <is>
          <t>VÄSTRA GÖTALANDS LÄN</t>
        </is>
      </c>
      <c r="G169" t="inlineStr">
        <is>
          <t>SKARA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46254</v>
      </c>
      <c r="F170" t="inlineStr">
        <is>
          <t>VÄSTRA GÖTALANDS LÄN</t>
        </is>
      </c>
      <c r="G170" t="inlineStr">
        <is>
          <t>SKARA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46254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46254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45175</v>
      </c>
      <c r="E173" s="1" t="n">
        <v>46254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Kommuner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46100</v>
      </c>
      <c r="E174" s="1" t="n">
        <v>46254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46254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46254</v>
      </c>
      <c r="F176" t="inlineStr">
        <is>
          <t>VÄSTRA GÖTALANDS LÄN</t>
        </is>
      </c>
      <c r="G176" t="inlineStr">
        <is>
          <t>SKARA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46254</v>
      </c>
      <c r="F177" t="inlineStr">
        <is>
          <t>VÄSTRA GÖTALANDS LÄN</t>
        </is>
      </c>
      <c r="G177" t="inlineStr">
        <is>
          <t>SKARA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46254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46254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46254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46254</v>
      </c>
      <c r="F181" t="inlineStr">
        <is>
          <t>VÄSTRA GÖTALANDS LÄN</t>
        </is>
      </c>
      <c r="G181" t="inlineStr">
        <is>
          <t>SKARA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46254</v>
      </c>
      <c r="F182" t="inlineStr">
        <is>
          <t>VÄSTRA GÖTALANDS LÄN</t>
        </is>
      </c>
      <c r="G182" t="inlineStr">
        <is>
          <t>SKARA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46254</v>
      </c>
      <c r="F183" t="inlineStr">
        <is>
          <t>VÄSTRA GÖTALANDS LÄN</t>
        </is>
      </c>
      <c r="G183" t="inlineStr">
        <is>
          <t>SKARA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45514</v>
      </c>
      <c r="E184" s="1" t="n">
        <v>46254</v>
      </c>
      <c r="F184" t="inlineStr">
        <is>
          <t>VÄSTRA GÖTALANDS LÄN</t>
        </is>
      </c>
      <c r="G184" t="inlineStr">
        <is>
          <t>SKARA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46254</v>
      </c>
      <c r="F185" t="inlineStr">
        <is>
          <t>VÄSTRA GÖTALANDS LÄN</t>
        </is>
      </c>
      <c r="G185" t="inlineStr">
        <is>
          <t>SKARA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46254</v>
      </c>
      <c r="F186" t="inlineStr">
        <is>
          <t>VÄSTRA GÖTALANDS LÄN</t>
        </is>
      </c>
      <c r="G186" t="inlineStr">
        <is>
          <t>SKARA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46254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46254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44995</v>
      </c>
      <c r="E189" s="1" t="n">
        <v>46254</v>
      </c>
      <c r="F189" t="inlineStr">
        <is>
          <t>VÄSTRA GÖTALANDS LÄN</t>
        </is>
      </c>
      <c r="G189" t="inlineStr">
        <is>
          <t>SKARA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46254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46254</v>
      </c>
      <c r="F191" t="inlineStr">
        <is>
          <t>VÄSTRA GÖTALANDS LÄN</t>
        </is>
      </c>
      <c r="G191" t="inlineStr">
        <is>
          <t>SKARA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30019-2023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45109</v>
      </c>
      <c r="E192" s="1" t="n">
        <v>46254</v>
      </c>
      <c r="F192" t="inlineStr">
        <is>
          <t>VÄSTRA GÖTALANDS LÄN</t>
        </is>
      </c>
      <c r="G192" t="inlineStr">
        <is>
          <t>SKARA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45313</v>
      </c>
      <c r="E193" s="1" t="n">
        <v>46254</v>
      </c>
      <c r="F193" t="inlineStr">
        <is>
          <t>VÄSTRA GÖTALANDS LÄN</t>
        </is>
      </c>
      <c r="G193" t="inlineStr">
        <is>
          <t>SKARA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45288</v>
      </c>
      <c r="E194" s="1" t="n">
        <v>46254</v>
      </c>
      <c r="F194" t="inlineStr">
        <is>
          <t>VÄSTRA GÖTALANDS LÄN</t>
        </is>
      </c>
      <c r="G194" t="inlineStr">
        <is>
          <t>SKARA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46254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46254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46254</v>
      </c>
      <c r="F197" t="inlineStr">
        <is>
          <t>VÄSTRA GÖTALANDS LÄN</t>
        </is>
      </c>
      <c r="G197" t="inlineStr">
        <is>
          <t>SKARA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45635</v>
      </c>
      <c r="E198" s="1" t="n">
        <v>46254</v>
      </c>
      <c r="F198" t="inlineStr">
        <is>
          <t>VÄSTRA GÖTALANDS LÄN</t>
        </is>
      </c>
      <c r="G198" t="inlineStr">
        <is>
          <t>SKARA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46254</v>
      </c>
      <c r="F199" t="inlineStr">
        <is>
          <t>VÄSTRA GÖTALANDS LÄN</t>
        </is>
      </c>
      <c r="G199" t="inlineStr">
        <is>
          <t>SKARA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46254</v>
      </c>
      <c r="F200" t="inlineStr">
        <is>
          <t>VÄSTRA GÖTALANDS LÄN</t>
        </is>
      </c>
      <c r="G200" t="inlineStr">
        <is>
          <t>SKARA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46254</v>
      </c>
      <c r="F201" t="inlineStr">
        <is>
          <t>VÄSTRA GÖTALANDS LÄN</t>
        </is>
      </c>
      <c r="G201" t="inlineStr">
        <is>
          <t>SKARA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25219-2025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45800</v>
      </c>
      <c r="E202" s="1" t="n">
        <v>46254</v>
      </c>
      <c r="F202" t="inlineStr">
        <is>
          <t>VÄSTRA GÖTALANDS LÄN</t>
        </is>
      </c>
      <c r="G202" t="inlineStr">
        <is>
          <t>SKARA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46254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46254</v>
      </c>
      <c r="F204" t="inlineStr">
        <is>
          <t>VÄSTRA GÖTALANDS LÄN</t>
        </is>
      </c>
      <c r="G204" t="inlineStr">
        <is>
          <t>SKARA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46254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46254</v>
      </c>
      <c r="F206" t="inlineStr">
        <is>
          <t>VÄSTRA GÖTALANDS LÄN</t>
        </is>
      </c>
      <c r="G206" t="inlineStr">
        <is>
          <t>SKARA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46254</v>
      </c>
      <c r="F207" t="inlineStr">
        <is>
          <t>VÄSTRA GÖTALANDS LÄN</t>
        </is>
      </c>
      <c r="G207" t="inlineStr">
        <is>
          <t>SKARA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46254</v>
      </c>
      <c r="F208" t="inlineStr">
        <is>
          <t>VÄSTRA GÖTALANDS LÄN</t>
        </is>
      </c>
      <c r="G208" t="inlineStr">
        <is>
          <t>SKARA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46254</v>
      </c>
      <c r="F209" t="inlineStr">
        <is>
          <t>VÄSTRA GÖTALANDS LÄN</t>
        </is>
      </c>
      <c r="G209" t="inlineStr">
        <is>
          <t>SKARA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45258</v>
      </c>
      <c r="E210" s="1" t="n">
        <v>46254</v>
      </c>
      <c r="F210" t="inlineStr">
        <is>
          <t>VÄSTRA GÖTALANDS LÄN</t>
        </is>
      </c>
      <c r="G210" t="inlineStr">
        <is>
          <t>SKARA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45776</v>
      </c>
      <c r="E211" s="1" t="n">
        <v>46254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44687</v>
      </c>
      <c r="E212" s="1" t="n">
        <v>46254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Kommuner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1236-2022</t>
        </is>
      </c>
      <c r="B213" t="inlineStr">
        <is>
          <t>samrådsanmälan</t>
        </is>
      </c>
      <c r="C213" t="n">
        <v/>
      </c>
      <c r="D213" s="1" t="n">
        <v>44623</v>
      </c>
      <c r="E213" s="1" t="n">
        <v>46254</v>
      </c>
      <c r="F213" t="inlineStr">
        <is>
          <t>VÄSTRA GÖTALANDS LÄN</t>
        </is>
      </c>
      <c r="G213" t="inlineStr">
        <is>
          <t>SKARA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839-2024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45372</v>
      </c>
      <c r="E214" s="1" t="n">
        <v>46254</v>
      </c>
      <c r="F214" t="inlineStr">
        <is>
          <t>VÄSTRA GÖTALANDS LÄN</t>
        </is>
      </c>
      <c r="G214" t="inlineStr">
        <is>
          <t>SKARA</t>
        </is>
      </c>
      <c r="I214" t="n">
        <v>19.6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2026-08-20T01:49:50Z</dcterms:created>
  <dcterms:modified xmlns:dcterms="http://purl.org/dc/terms/" xmlns:xsi="http://www.w3.org/2001/XMLSchema-instance" xsi:type="dcterms:W3CDTF">2026-08-20T01:49:50Z</dcterms:modified>
</cp:coreProperties>
</file>