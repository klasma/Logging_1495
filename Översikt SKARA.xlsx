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45671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45671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45671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45671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4312-2023</t>
        </is>
      </c>
      <c r="B6" s="1" t="n">
        <v>44953</v>
      </c>
      <c r="C6" s="1" t="n">
        <v>45671</v>
      </c>
      <c r="D6" t="inlineStr">
        <is>
          <t>VÄSTRA GÖTALANDS LÄN</t>
        </is>
      </c>
      <c r="E6" t="inlineStr">
        <is>
          <t>SKARA</t>
        </is>
      </c>
      <c r="G6" t="n">
        <v>4.1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Hartmansstarr
Klasefibbla</t>
        </is>
      </c>
      <c r="S6">
        <f>HYPERLINK("https://klasma.github.io/Logging_1495/artfynd/A 4312-2023 artfynd.xlsx", "A 4312-2023")</f>
        <v/>
      </c>
      <c r="T6">
        <f>HYPERLINK("https://klasma.github.io/Logging_1495/kartor/A 4312-2023 karta.png", "A 4312-2023")</f>
        <v/>
      </c>
      <c r="V6">
        <f>HYPERLINK("https://klasma.github.io/Logging_1495/klagomål/A 4312-2023 FSC-klagomål.docx", "A 4312-2023")</f>
        <v/>
      </c>
      <c r="W6">
        <f>HYPERLINK("https://klasma.github.io/Logging_1495/klagomålsmail/A 4312-2023 FSC-klagomål mail.docx", "A 4312-2023")</f>
        <v/>
      </c>
      <c r="X6">
        <f>HYPERLINK("https://klasma.github.io/Logging_1495/tillsyn/A 4312-2023 tillsynsbegäran.docx", "A 4312-2023")</f>
        <v/>
      </c>
      <c r="Y6">
        <f>HYPERLINK("https://klasma.github.io/Logging_1495/tillsynsmail/A 4312-2023 tillsynsbegäran mail.docx", "A 4312-2023")</f>
        <v/>
      </c>
    </row>
    <row r="7" ht="15" customHeight="1">
      <c r="A7" t="inlineStr">
        <is>
          <t>A 24911-2019</t>
        </is>
      </c>
      <c r="B7" s="1" t="n">
        <v>43602</v>
      </c>
      <c r="C7" s="1" t="n">
        <v>45671</v>
      </c>
      <c r="D7" t="inlineStr">
        <is>
          <t>VÄSTRA GÖTALANDS LÄN</t>
        </is>
      </c>
      <c r="E7" t="inlineStr">
        <is>
          <t>SKARA</t>
        </is>
      </c>
      <c r="G7" t="n">
        <v>0.6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HYPERLINK("https://klasma.github.io/Logging_1495/artfynd/A 24911-2019 artfynd.xlsx", "A 24911-2019")</f>
        <v/>
      </c>
      <c r="T7">
        <f>HYPERLINK("https://klasma.github.io/Logging_1495/kartor/A 24911-2019 karta.png", "A 24911-2019")</f>
        <v/>
      </c>
      <c r="V7">
        <f>HYPERLINK("https://klasma.github.io/Logging_1495/klagomål/A 24911-2019 FSC-klagomål.docx", "A 24911-2019")</f>
        <v/>
      </c>
      <c r="W7">
        <f>HYPERLINK("https://klasma.github.io/Logging_1495/klagomålsmail/A 24911-2019 FSC-klagomål mail.docx", "A 24911-2019")</f>
        <v/>
      </c>
      <c r="X7">
        <f>HYPERLINK("https://klasma.github.io/Logging_1495/tillsyn/A 24911-2019 tillsynsbegäran.docx", "A 24911-2019")</f>
        <v/>
      </c>
      <c r="Y7">
        <f>HYPERLINK("https://klasma.github.io/Logging_1495/tillsynsmail/A 24911-2019 tillsynsbegäran mail.docx", "A 24911-2019")</f>
        <v/>
      </c>
    </row>
    <row r="8" ht="15" customHeight="1">
      <c r="A8" t="inlineStr">
        <is>
          <t>A 41622-2019</t>
        </is>
      </c>
      <c r="B8" s="1" t="n">
        <v>43699</v>
      </c>
      <c r="C8" s="1" t="n">
        <v>45671</v>
      </c>
      <c r="D8" t="inlineStr">
        <is>
          <t>VÄSTRA GÖTALANDS LÄN</t>
        </is>
      </c>
      <c r="E8" t="inlineStr">
        <is>
          <t>SKARA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41622-2019 artfynd.xlsx", "A 41622-2019")</f>
        <v/>
      </c>
      <c r="T8">
        <f>HYPERLINK("https://klasma.github.io/Logging_1495/kartor/A 41622-2019 karta.png", "A 41622-2019")</f>
        <v/>
      </c>
      <c r="V8">
        <f>HYPERLINK("https://klasma.github.io/Logging_1495/klagomål/A 41622-2019 FSC-klagomål.docx", "A 41622-2019")</f>
        <v/>
      </c>
      <c r="W8">
        <f>HYPERLINK("https://klasma.github.io/Logging_1495/klagomålsmail/A 41622-2019 FSC-klagomål mail.docx", "A 41622-2019")</f>
        <v/>
      </c>
      <c r="X8">
        <f>HYPERLINK("https://klasma.github.io/Logging_1495/tillsyn/A 41622-2019 tillsynsbegäran.docx", "A 41622-2019")</f>
        <v/>
      </c>
      <c r="Y8">
        <f>HYPERLINK("https://klasma.github.io/Logging_1495/tillsynsmail/A 41622-2019 tillsynsbegäran mail.docx", "A 41622-2019")</f>
        <v/>
      </c>
    </row>
    <row r="9" ht="15" customHeight="1">
      <c r="A9" t="inlineStr">
        <is>
          <t>A 43545-2019</t>
        </is>
      </c>
      <c r="B9" s="1" t="n">
        <v>43706</v>
      </c>
      <c r="C9" s="1" t="n">
        <v>45671</v>
      </c>
      <c r="D9" t="inlineStr">
        <is>
          <t>VÄSTRA GÖTALANDS LÄN</t>
        </is>
      </c>
      <c r="E9" t="inlineStr">
        <is>
          <t>SKARA</t>
        </is>
      </c>
      <c r="G9" t="n">
        <v>5.6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43545-2019 artfynd.xlsx", "A 43545-2019")</f>
        <v/>
      </c>
      <c r="T9">
        <f>HYPERLINK("https://klasma.github.io/Logging_1495/kartor/A 43545-2019 karta.png", "A 43545-2019")</f>
        <v/>
      </c>
      <c r="V9">
        <f>HYPERLINK("https://klasma.github.io/Logging_1495/klagomål/A 43545-2019 FSC-klagomål.docx", "A 43545-2019")</f>
        <v/>
      </c>
      <c r="W9">
        <f>HYPERLINK("https://klasma.github.io/Logging_1495/klagomålsmail/A 43545-2019 FSC-klagomål mail.docx", "A 43545-2019")</f>
        <v/>
      </c>
      <c r="X9">
        <f>HYPERLINK("https://klasma.github.io/Logging_1495/tillsyn/A 43545-2019 tillsynsbegäran.docx", "A 43545-2019")</f>
        <v/>
      </c>
      <c r="Y9">
        <f>HYPERLINK("https://klasma.github.io/Logging_1495/tillsynsmail/A 43545-2019 tillsynsbegäran mail.docx", "A 43545-2019")</f>
        <v/>
      </c>
    </row>
    <row r="10" ht="15" customHeight="1">
      <c r="A10" t="inlineStr">
        <is>
          <t>A 3596-2020</t>
        </is>
      </c>
      <c r="B10" s="1" t="n">
        <v>43853</v>
      </c>
      <c r="C10" s="1" t="n">
        <v>45671</v>
      </c>
      <c r="D10" t="inlineStr">
        <is>
          <t>VÄSTRA GÖTALANDS LÄN</t>
        </is>
      </c>
      <c r="E10" t="inlineStr">
        <is>
          <t>SKARA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Kattmynta</t>
        </is>
      </c>
      <c r="S10">
        <f>HYPERLINK("https://klasma.github.io/Logging_1495/artfynd/A 3596-2020 artfynd.xlsx", "A 3596-2020")</f>
        <v/>
      </c>
      <c r="T10">
        <f>HYPERLINK("https://klasma.github.io/Logging_1495/kartor/A 3596-2020 karta.png", "A 3596-2020")</f>
        <v/>
      </c>
      <c r="V10">
        <f>HYPERLINK("https://klasma.github.io/Logging_1495/klagomål/A 3596-2020 FSC-klagomål.docx", "A 3596-2020")</f>
        <v/>
      </c>
      <c r="W10">
        <f>HYPERLINK("https://klasma.github.io/Logging_1495/klagomålsmail/A 3596-2020 FSC-klagomål mail.docx", "A 3596-2020")</f>
        <v/>
      </c>
      <c r="X10">
        <f>HYPERLINK("https://klasma.github.io/Logging_1495/tillsyn/A 3596-2020 tillsynsbegäran.docx", "A 3596-2020")</f>
        <v/>
      </c>
      <c r="Y10">
        <f>HYPERLINK("https://klasma.github.io/Logging_1495/tillsynsmail/A 3596-2020 tillsynsbegäran mail.docx", "A 3596-2020")</f>
        <v/>
      </c>
    </row>
    <row r="11" ht="15" customHeight="1">
      <c r="A11" t="inlineStr">
        <is>
          <t>A 6492-2020</t>
        </is>
      </c>
      <c r="B11" s="1" t="n">
        <v>43866</v>
      </c>
      <c r="C11" s="1" t="n">
        <v>45671</v>
      </c>
      <c r="D11" t="inlineStr">
        <is>
          <t>VÄSTRA GÖTALANDS LÄN</t>
        </is>
      </c>
      <c r="E11" t="inlineStr">
        <is>
          <t>SKARA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HYPERLINK("https://klasma.github.io/Logging_1495/artfynd/A 6492-2020 artfynd.xlsx", "A 6492-2020")</f>
        <v/>
      </c>
      <c r="T11">
        <f>HYPERLINK("https://klasma.github.io/Logging_1495/kartor/A 6492-2020 karta.png", "A 6492-2020")</f>
        <v/>
      </c>
      <c r="V11">
        <f>HYPERLINK("https://klasma.github.io/Logging_1495/klagomål/A 6492-2020 FSC-klagomål.docx", "A 6492-2020")</f>
        <v/>
      </c>
      <c r="W11">
        <f>HYPERLINK("https://klasma.github.io/Logging_1495/klagomålsmail/A 6492-2020 FSC-klagomål mail.docx", "A 6492-2020")</f>
        <v/>
      </c>
      <c r="X11">
        <f>HYPERLINK("https://klasma.github.io/Logging_1495/tillsyn/A 6492-2020 tillsynsbegäran.docx", "A 6492-2020")</f>
        <v/>
      </c>
      <c r="Y11">
        <f>HYPERLINK("https://klasma.github.io/Logging_1495/tillsynsmail/A 6492-2020 tillsynsbegäran mail.docx", "A 6492-2020")</f>
        <v/>
      </c>
    </row>
    <row r="12" ht="15" customHeight="1">
      <c r="A12" t="inlineStr">
        <is>
          <t>A 57206-2020</t>
        </is>
      </c>
      <c r="B12" s="1" t="n">
        <v>44139</v>
      </c>
      <c r="C12" s="1" t="n">
        <v>45671</v>
      </c>
      <c r="D12" t="inlineStr">
        <is>
          <t>VÄSTRA GÖTALANDS LÄN</t>
        </is>
      </c>
      <c r="E12" t="inlineStr">
        <is>
          <t>SKARA</t>
        </is>
      </c>
      <c r="G12" t="n">
        <v>36.1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Backsvala</t>
        </is>
      </c>
      <c r="S12">
        <f>HYPERLINK("https://klasma.github.io/Logging_1495/artfynd/A 57206-2020 artfynd.xlsx", "A 57206-2020")</f>
        <v/>
      </c>
      <c r="T12">
        <f>HYPERLINK("https://klasma.github.io/Logging_1495/kartor/A 57206-2020 karta.png", "A 57206-2020")</f>
        <v/>
      </c>
      <c r="V12">
        <f>HYPERLINK("https://klasma.github.io/Logging_1495/klagomål/A 57206-2020 FSC-klagomål.docx", "A 57206-2020")</f>
        <v/>
      </c>
      <c r="W12">
        <f>HYPERLINK("https://klasma.github.io/Logging_1495/klagomålsmail/A 57206-2020 FSC-klagomål mail.docx", "A 57206-2020")</f>
        <v/>
      </c>
      <c r="X12">
        <f>HYPERLINK("https://klasma.github.io/Logging_1495/tillsyn/A 57206-2020 tillsynsbegäran.docx", "A 57206-2020")</f>
        <v/>
      </c>
      <c r="Y12">
        <f>HYPERLINK("https://klasma.github.io/Logging_1495/tillsynsmail/A 57206-2020 tillsynsbegäran mail.docx", "A 57206-2020")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45671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17770-2021</t>
        </is>
      </c>
      <c r="B14" s="1" t="n">
        <v>44300</v>
      </c>
      <c r="C14" s="1" t="n">
        <v>45671</v>
      </c>
      <c r="D14" t="inlineStr">
        <is>
          <t>VÄSTRA GÖTALANDS LÄN</t>
        </is>
      </c>
      <c r="E14" t="inlineStr">
        <is>
          <t>SKARA</t>
        </is>
      </c>
      <c r="F14" t="inlineStr">
        <is>
          <t>Övriga statliga verk och myndigheter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Brunand</t>
        </is>
      </c>
      <c r="S14">
        <f>HYPERLINK("https://klasma.github.io/Logging_1495/artfynd/A 17770-2021 artfynd.xlsx", "A 17770-2021")</f>
        <v/>
      </c>
      <c r="T14">
        <f>HYPERLINK("https://klasma.github.io/Logging_1495/kartor/A 17770-2021 karta.png", "A 17770-2021")</f>
        <v/>
      </c>
      <c r="V14">
        <f>HYPERLINK("https://klasma.github.io/Logging_1495/klagomål/A 17770-2021 FSC-klagomål.docx", "A 17770-2021")</f>
        <v/>
      </c>
      <c r="W14">
        <f>HYPERLINK("https://klasma.github.io/Logging_1495/klagomålsmail/A 17770-2021 FSC-klagomål mail.docx", "A 17770-2021")</f>
        <v/>
      </c>
      <c r="X14">
        <f>HYPERLINK("https://klasma.github.io/Logging_1495/tillsyn/A 17770-2021 tillsynsbegäran.docx", "A 17770-2021")</f>
        <v/>
      </c>
      <c r="Y14">
        <f>HYPERLINK("https://klasma.github.io/Logging_1495/tillsynsmail/A 17770-2021 tillsynsbegäran mail.docx", "A 17770-2021")</f>
        <v/>
      </c>
    </row>
    <row r="15" ht="15" customHeight="1">
      <c r="A15" t="inlineStr">
        <is>
          <t>A 21050-2021</t>
        </is>
      </c>
      <c r="B15" s="1" t="n">
        <v>44319</v>
      </c>
      <c r="C15" s="1" t="n">
        <v>45671</v>
      </c>
      <c r="D15" t="inlineStr">
        <is>
          <t>VÄSTRA GÖTALANDS LÄN</t>
        </is>
      </c>
      <c r="E15" t="inlineStr">
        <is>
          <t>SKARA</t>
        </is>
      </c>
      <c r="G15" t="n">
        <v>13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HYPERLINK("https://klasma.github.io/Logging_1495/artfynd/A 21050-2021 artfynd.xlsx", "A 21050-2021")</f>
        <v/>
      </c>
      <c r="T15">
        <f>HYPERLINK("https://klasma.github.io/Logging_1495/kartor/A 21050-2021 karta.png", "A 21050-2021")</f>
        <v/>
      </c>
      <c r="U15">
        <f>HYPERLINK("https://klasma.github.io/Logging_1495/knärot/A 21050-2021 karta knärot.png", "A 21050-2021")</f>
        <v/>
      </c>
      <c r="V15">
        <f>HYPERLINK("https://klasma.github.io/Logging_1495/klagomål/A 21050-2021 FSC-klagomål.docx", "A 21050-2021")</f>
        <v/>
      </c>
      <c r="W15">
        <f>HYPERLINK("https://klasma.github.io/Logging_1495/klagomålsmail/A 21050-2021 FSC-klagomål mail.docx", "A 21050-2021")</f>
        <v/>
      </c>
      <c r="X15">
        <f>HYPERLINK("https://klasma.github.io/Logging_1495/tillsyn/A 21050-2021 tillsynsbegäran.docx", "A 21050-2021")</f>
        <v/>
      </c>
      <c r="Y15">
        <f>HYPERLINK("https://klasma.github.io/Logging_1495/tillsynsmail/A 21050-2021 tillsynsbegäran mail.docx", "A 21050-2021")</f>
        <v/>
      </c>
    </row>
    <row r="16" ht="15" customHeight="1">
      <c r="A16" t="inlineStr">
        <is>
          <t>A 25884-2021</t>
        </is>
      </c>
      <c r="B16" s="1" t="n">
        <v>44344</v>
      </c>
      <c r="C16" s="1" t="n">
        <v>45671</v>
      </c>
      <c r="D16" t="inlineStr">
        <is>
          <t>VÄSTRA GÖTALANDS LÄN</t>
        </is>
      </c>
      <c r="E16" t="inlineStr">
        <is>
          <t>SKARA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HYPERLINK("https://klasma.github.io/Logging_1495/artfynd/A 25884-2021 artfynd.xlsx", "A 25884-2021")</f>
        <v/>
      </c>
      <c r="T16">
        <f>HYPERLINK("https://klasma.github.io/Logging_1495/kartor/A 25884-2021 karta.png", "A 25884-2021")</f>
        <v/>
      </c>
      <c r="V16">
        <f>HYPERLINK("https://klasma.github.io/Logging_1495/klagomål/A 25884-2021 FSC-klagomål.docx", "A 25884-2021")</f>
        <v/>
      </c>
      <c r="W16">
        <f>HYPERLINK("https://klasma.github.io/Logging_1495/klagomålsmail/A 25884-2021 FSC-klagomål mail.docx", "A 25884-2021")</f>
        <v/>
      </c>
      <c r="X16">
        <f>HYPERLINK("https://klasma.github.io/Logging_1495/tillsyn/A 25884-2021 tillsynsbegäran.docx", "A 25884-2021")</f>
        <v/>
      </c>
      <c r="Y16">
        <f>HYPERLINK("https://klasma.github.io/Logging_1495/tillsynsmail/A 25884-2021 tillsynsbegäran mail.docx", "A 25884-2021")</f>
        <v/>
      </c>
    </row>
    <row r="17" ht="15" customHeight="1">
      <c r="A17" t="inlineStr">
        <is>
          <t>A 50318-2021</t>
        </is>
      </c>
      <c r="B17" s="1" t="n">
        <v>44459</v>
      </c>
      <c r="C17" s="1" t="n">
        <v>45671</v>
      </c>
      <c r="D17" t="inlineStr">
        <is>
          <t>VÄSTRA GÖTALANDS LÄN</t>
        </is>
      </c>
      <c r="E17" t="inlineStr">
        <is>
          <t>SKARA</t>
        </is>
      </c>
      <c r="G17" t="n">
        <v>0.8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50318-2021 artfynd.xlsx", "A 50318-2021")</f>
        <v/>
      </c>
      <c r="T17">
        <f>HYPERLINK("https://klasma.github.io/Logging_1495/kartor/A 50318-2021 karta.png", "A 50318-2021")</f>
        <v/>
      </c>
      <c r="U17">
        <f>HYPERLINK("https://klasma.github.io/Logging_1495/knärot/A 50318-2021 karta knärot.png", "A 50318-2021")</f>
        <v/>
      </c>
      <c r="V17">
        <f>HYPERLINK("https://klasma.github.io/Logging_1495/klagomål/A 50318-2021 FSC-klagomål.docx", "A 50318-2021")</f>
        <v/>
      </c>
      <c r="W17">
        <f>HYPERLINK("https://klasma.github.io/Logging_1495/klagomålsmail/A 50318-2021 FSC-klagomål mail.docx", "A 50318-2021")</f>
        <v/>
      </c>
      <c r="X17">
        <f>HYPERLINK("https://klasma.github.io/Logging_1495/tillsyn/A 50318-2021 tillsynsbegäran.docx", "A 50318-2021")</f>
        <v/>
      </c>
      <c r="Y17">
        <f>HYPERLINK("https://klasma.github.io/Logging_1495/tillsynsmail/A 50318-2021 tillsynsbegäran mail.docx", "A 50318-2021")</f>
        <v/>
      </c>
    </row>
    <row r="18" ht="15" customHeight="1">
      <c r="A18" t="inlineStr">
        <is>
          <t>A 59679-2021</t>
        </is>
      </c>
      <c r="B18" s="1" t="n">
        <v>44494</v>
      </c>
      <c r="C18" s="1" t="n">
        <v>45671</v>
      </c>
      <c r="D18" t="inlineStr">
        <is>
          <t>VÄSTRA GÖTALANDS LÄN</t>
        </is>
      </c>
      <c r="E18" t="inlineStr">
        <is>
          <t>SKARA</t>
        </is>
      </c>
      <c r="G18" t="n">
        <v>15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HYPERLINK("https://klasma.github.io/Logging_1495/artfynd/A 59679-2021 artfynd.xlsx", "A 59679-2021")</f>
        <v/>
      </c>
      <c r="T18">
        <f>HYPERLINK("https://klasma.github.io/Logging_1495/kartor/A 59679-2021 karta.png", "A 59679-2021")</f>
        <v/>
      </c>
      <c r="V18">
        <f>HYPERLINK("https://klasma.github.io/Logging_1495/klagomål/A 59679-2021 FSC-klagomål.docx", "A 59679-2021")</f>
        <v/>
      </c>
      <c r="W18">
        <f>HYPERLINK("https://klasma.github.io/Logging_1495/klagomålsmail/A 59679-2021 FSC-klagomål mail.docx", "A 59679-2021")</f>
        <v/>
      </c>
      <c r="X18">
        <f>HYPERLINK("https://klasma.github.io/Logging_1495/tillsyn/A 59679-2021 tillsynsbegäran.docx", "A 59679-2021")</f>
        <v/>
      </c>
      <c r="Y18">
        <f>HYPERLINK("https://klasma.github.io/Logging_1495/tillsynsmail/A 59679-2021 tillsynsbegäran mail.docx", "A 59679-2021")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45671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45671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45671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45671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45671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45671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45671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45671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45671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45671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45671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45671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45671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45671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45671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45671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45671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45671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45671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45671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45671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45671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45671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45671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45671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45671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45671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45671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45671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45671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45671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45671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45671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45671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45671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45671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45671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45671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45671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45671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45671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45671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45671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45671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45671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45671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45671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45671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45671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45671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45671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45671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45671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45671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45671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45671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45671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45671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45671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45671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45671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45671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45671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45671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45671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45671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45671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45671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45671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45671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45671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45671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45671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45671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45671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45671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45671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45671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45671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45671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45671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45671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45671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45671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45671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45671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45671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45671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45671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45671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45671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45671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45671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45671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45671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45671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45671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45671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45671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45671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45671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45671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45671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45671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45671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45671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45671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45671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45671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45671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45671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45671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45671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45671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45671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45671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45671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45671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45671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45671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45671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45671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45671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45671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45671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45671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45671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45671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45671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45671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45671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45671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45671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45671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45671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45671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45671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45671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45671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45671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45671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45671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45671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45671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45671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45671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45671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45671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45671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45671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45671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45671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45671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45671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45671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45671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45671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45671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45671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45671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45671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45671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45671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45671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45671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45671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45671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45671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45671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45671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45671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45671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45671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45671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45671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45671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45671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45671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45671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45671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45671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45671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45671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45671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45671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45671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45671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45671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45671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45671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45671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45671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45671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45671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45671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45671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45671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45671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45671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45671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45671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45671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45671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45671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45671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45671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45671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45671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45671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45671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45671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45671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45671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45671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45671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45671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45671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45671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45671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45671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45671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45671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45671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45671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45671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45671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45671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45671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45671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45671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45671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45671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45671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45671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45671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45671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45671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45671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45671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45671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45671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45671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45671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45671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45671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45671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45671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45671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45671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45671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45671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45671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45671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45671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45671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45671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45671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45671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45671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45671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45671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45671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45671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45671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45671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45671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45671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45671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45671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45671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45671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45671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45671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45671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45671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45671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45671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45671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45671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45671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45671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45671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45671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45671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45671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45671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45671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45671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45671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45671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45671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45671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45671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45671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45671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45671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45671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45671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45671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45671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45671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45671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45671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45671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45671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45671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45671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45671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45671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45671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45671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45671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45671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45671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45671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45671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45671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45671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45671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45671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45671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45671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45671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45671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45671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45671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45671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45671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45671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45671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45671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45671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45671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45671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45671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45671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45671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45671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45671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45671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45671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45671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45671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45671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45671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45671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45671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45671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45671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45671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45671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45671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45671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45671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45671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45671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45671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45671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45671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45671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45671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45671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45671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45671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45671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45671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45671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45671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45671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45671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45671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45671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45671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45671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45671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45671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45671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45671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45671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45671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45671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45671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45671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45671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45671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45671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45671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45671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45671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45671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45671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45671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45671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45671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45671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45671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45671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42752-2024</t>
        </is>
      </c>
      <c r="B416" s="1" t="n">
        <v>45566</v>
      </c>
      <c r="C416" s="1" t="n">
        <v>45671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42753-2024</t>
        </is>
      </c>
      <c r="B417" s="1" t="n">
        <v>45566</v>
      </c>
      <c r="C417" s="1" t="n">
        <v>45671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46544-2024</t>
        </is>
      </c>
      <c r="B418" s="1" t="n">
        <v>45582</v>
      </c>
      <c r="C418" s="1" t="n">
        <v>45671</v>
      </c>
      <c r="D418" t="inlineStr">
        <is>
          <t>VÄSTRA GÖTALANDS LÄN</t>
        </is>
      </c>
      <c r="E418" t="inlineStr">
        <is>
          <t>SKARA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47213-2024</t>
        </is>
      </c>
      <c r="B419" s="1" t="n">
        <v>45586</v>
      </c>
      <c r="C419" s="1" t="n">
        <v>45671</v>
      </c>
      <c r="D419" t="inlineStr">
        <is>
          <t>VÄSTRA GÖTALANDS LÄN</t>
        </is>
      </c>
      <c r="E419" t="inlineStr">
        <is>
          <t>SKARA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48195-2024</t>
        </is>
      </c>
      <c r="B420" s="1" t="n">
        <v>45590</v>
      </c>
      <c r="C420" s="1" t="n">
        <v>45671</v>
      </c>
      <c r="D420" t="inlineStr">
        <is>
          <t>VÄSTRA GÖTALANDS LÄN</t>
        </is>
      </c>
      <c r="E420" t="inlineStr">
        <is>
          <t>SKARA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48579-2024</t>
        </is>
      </c>
      <c r="B421" s="1" t="n">
        <v>45593</v>
      </c>
      <c r="C421" s="1" t="n">
        <v>45671</v>
      </c>
      <c r="D421" t="inlineStr">
        <is>
          <t>VÄSTRA GÖTALANDS LÄN</t>
        </is>
      </c>
      <c r="E421" t="inlineStr">
        <is>
          <t>SKARA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49066-2024</t>
        </is>
      </c>
      <c r="B422" s="1" t="n">
        <v>45594</v>
      </c>
      <c r="C422" s="1" t="n">
        <v>45671</v>
      </c>
      <c r="D422" t="inlineStr">
        <is>
          <t>VÄSTRA GÖTALANDS LÄN</t>
        </is>
      </c>
      <c r="E422" t="inlineStr">
        <is>
          <t>SKARA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49114-2024</t>
        </is>
      </c>
      <c r="B423" s="1" t="n">
        <v>45594</v>
      </c>
      <c r="C423" s="1" t="n">
        <v>45671</v>
      </c>
      <c r="D423" t="inlineStr">
        <is>
          <t>VÄSTRA GÖTALANDS LÄN</t>
        </is>
      </c>
      <c r="E423" t="inlineStr">
        <is>
          <t>SKARA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49138-2024</t>
        </is>
      </c>
      <c r="B424" s="1" t="n">
        <v>45594</v>
      </c>
      <c r="C424" s="1" t="n">
        <v>45671</v>
      </c>
      <c r="D424" t="inlineStr">
        <is>
          <t>VÄSTRA GÖTALANDS LÄN</t>
        </is>
      </c>
      <c r="E424" t="inlineStr">
        <is>
          <t>SKARA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49044-2024</t>
        </is>
      </c>
      <c r="B425" s="1" t="n">
        <v>45594</v>
      </c>
      <c r="C425" s="1" t="n">
        <v>45671</v>
      </c>
      <c r="D425" t="inlineStr">
        <is>
          <t>VÄSTRA GÖTALANDS LÄN</t>
        </is>
      </c>
      <c r="E425" t="inlineStr">
        <is>
          <t>SKARA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49054-2024</t>
        </is>
      </c>
      <c r="B426" s="1" t="n">
        <v>45594</v>
      </c>
      <c r="C426" s="1" t="n">
        <v>45671</v>
      </c>
      <c r="D426" t="inlineStr">
        <is>
          <t>VÄSTRA GÖTALANDS LÄN</t>
        </is>
      </c>
      <c r="E426" t="inlineStr">
        <is>
          <t>SKARA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49430-2024</t>
        </is>
      </c>
      <c r="B427" s="1" t="n">
        <v>45595</v>
      </c>
      <c r="C427" s="1" t="n">
        <v>45671</v>
      </c>
      <c r="D427" t="inlineStr">
        <is>
          <t>VÄSTRA GÖTALANDS LÄN</t>
        </is>
      </c>
      <c r="E427" t="inlineStr">
        <is>
          <t>SKARA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49431-2024</t>
        </is>
      </c>
      <c r="B428" s="1" t="n">
        <v>45595</v>
      </c>
      <c r="C428" s="1" t="n">
        <v>45671</v>
      </c>
      <c r="D428" t="inlineStr">
        <is>
          <t>VÄSTRA GÖTALANDS LÄN</t>
        </is>
      </c>
      <c r="E428" t="inlineStr">
        <is>
          <t>SKARA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49435-2024</t>
        </is>
      </c>
      <c r="B429" s="1" t="n">
        <v>45595</v>
      </c>
      <c r="C429" s="1" t="n">
        <v>45671</v>
      </c>
      <c r="D429" t="inlineStr">
        <is>
          <t>VÄSTRA GÖTALANDS LÄN</t>
        </is>
      </c>
      <c r="E429" t="inlineStr">
        <is>
          <t>SKARA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53149-2024</t>
        </is>
      </c>
      <c r="B430" s="1" t="n">
        <v>45611</v>
      </c>
      <c r="C430" s="1" t="n">
        <v>45671</v>
      </c>
      <c r="D430" t="inlineStr">
        <is>
          <t>VÄSTRA GÖTALANDS LÄN</t>
        </is>
      </c>
      <c r="E430" t="inlineStr">
        <is>
          <t>SKARA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55202-2024</t>
        </is>
      </c>
      <c r="B431" s="1" t="n">
        <v>45621</v>
      </c>
      <c r="C431" s="1" t="n">
        <v>45671</v>
      </c>
      <c r="D431" t="inlineStr">
        <is>
          <t>VÄSTRA GÖTALANDS LÄN</t>
        </is>
      </c>
      <c r="E431" t="inlineStr">
        <is>
          <t>SKARA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55211-2024</t>
        </is>
      </c>
      <c r="B432" s="1" t="n">
        <v>45621</v>
      </c>
      <c r="C432" s="1" t="n">
        <v>45671</v>
      </c>
      <c r="D432" t="inlineStr">
        <is>
          <t>VÄSTRA GÖTALANDS LÄN</t>
        </is>
      </c>
      <c r="E432" t="inlineStr">
        <is>
          <t>SKARA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56097-2024</t>
        </is>
      </c>
      <c r="B433" s="1" t="n">
        <v>45624</v>
      </c>
      <c r="C433" s="1" t="n">
        <v>45671</v>
      </c>
      <c r="D433" t="inlineStr">
        <is>
          <t>VÄSTRA GÖTALANDS LÄN</t>
        </is>
      </c>
      <c r="E433" t="inlineStr">
        <is>
          <t>SKARA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56104-2024</t>
        </is>
      </c>
      <c r="B434" s="1" t="n">
        <v>45624</v>
      </c>
      <c r="C434" s="1" t="n">
        <v>45671</v>
      </c>
      <c r="D434" t="inlineStr">
        <is>
          <t>VÄSTRA GÖTALANDS LÄN</t>
        </is>
      </c>
      <c r="E434" t="inlineStr">
        <is>
          <t>SKARA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56922-2024</t>
        </is>
      </c>
      <c r="B435" s="1" t="n">
        <v>45628</v>
      </c>
      <c r="C435" s="1" t="n">
        <v>45671</v>
      </c>
      <c r="D435" t="inlineStr">
        <is>
          <t>VÄSTRA GÖTALANDS LÄN</t>
        </is>
      </c>
      <c r="E435" t="inlineStr">
        <is>
          <t>SKARA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56928-2024</t>
        </is>
      </c>
      <c r="B436" s="1" t="n">
        <v>45628</v>
      </c>
      <c r="C436" s="1" t="n">
        <v>45671</v>
      </c>
      <c r="D436" t="inlineStr">
        <is>
          <t>VÄSTRA GÖTALANDS LÄN</t>
        </is>
      </c>
      <c r="E436" t="inlineStr">
        <is>
          <t>SKARA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58237-2024</t>
        </is>
      </c>
      <c r="B437" s="1" t="n">
        <v>45632</v>
      </c>
      <c r="C437" s="1" t="n">
        <v>45671</v>
      </c>
      <c r="D437" t="inlineStr">
        <is>
          <t>VÄSTRA GÖTALANDS LÄN</t>
        </is>
      </c>
      <c r="E437" t="inlineStr">
        <is>
          <t>SKARA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58685-2024</t>
        </is>
      </c>
      <c r="B438" s="1" t="n">
        <v>45635</v>
      </c>
      <c r="C438" s="1" t="n">
        <v>45671</v>
      </c>
      <c r="D438" t="inlineStr">
        <is>
          <t>VÄSTRA GÖTALANDS LÄN</t>
        </is>
      </c>
      <c r="E438" t="inlineStr">
        <is>
          <t>SKARA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58688-2024</t>
        </is>
      </c>
      <c r="B439" s="1" t="n">
        <v>45635</v>
      </c>
      <c r="C439" s="1" t="n">
        <v>45671</v>
      </c>
      <c r="D439" t="inlineStr">
        <is>
          <t>VÄSTRA GÖTALANDS LÄN</t>
        </is>
      </c>
      <c r="E439" t="inlineStr">
        <is>
          <t>SKARA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58732-2024</t>
        </is>
      </c>
      <c r="B440" s="1" t="n">
        <v>45635</v>
      </c>
      <c r="C440" s="1" t="n">
        <v>45671</v>
      </c>
      <c r="D440" t="inlineStr">
        <is>
          <t>VÄSTRA GÖTALANDS LÄN</t>
        </is>
      </c>
      <c r="E440" t="inlineStr">
        <is>
          <t>SKARA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58683-2024</t>
        </is>
      </c>
      <c r="B441" s="1" t="n">
        <v>45635</v>
      </c>
      <c r="C441" s="1" t="n">
        <v>45671</v>
      </c>
      <c r="D441" t="inlineStr">
        <is>
          <t>VÄSTRA GÖTALANDS LÄN</t>
        </is>
      </c>
      <c r="E441" t="inlineStr">
        <is>
          <t>SKARA</t>
        </is>
      </c>
      <c r="G441" t="n">
        <v>9.199999999999999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59841-2024</t>
        </is>
      </c>
      <c r="B442" s="1" t="n">
        <v>45639</v>
      </c>
      <c r="C442" s="1" t="n">
        <v>45671</v>
      </c>
      <c r="D442" t="inlineStr">
        <is>
          <t>VÄSTRA GÖTALANDS LÄN</t>
        </is>
      </c>
      <c r="E442" t="inlineStr">
        <is>
          <t>SKARA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60086-2024</t>
        </is>
      </c>
      <c r="B443" s="1" t="n">
        <v>45642</v>
      </c>
      <c r="C443" s="1" t="n">
        <v>45671</v>
      </c>
      <c r="D443" t="inlineStr">
        <is>
          <t>VÄSTRA GÖTALANDS LÄN</t>
        </is>
      </c>
      <c r="E443" t="inlineStr">
        <is>
          <t>SKARA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61972-2024</t>
        </is>
      </c>
      <c r="B444" s="1" t="n">
        <v>45653</v>
      </c>
      <c r="C444" s="1" t="n">
        <v>45671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1198-2025</t>
        </is>
      </c>
      <c r="B445" s="1" t="n">
        <v>45667</v>
      </c>
      <c r="C445" s="1" t="n">
        <v>45671</v>
      </c>
      <c r="D445" t="inlineStr">
        <is>
          <t>VÄSTRA GÖTALANDS LÄN</t>
        </is>
      </c>
      <c r="E445" t="inlineStr">
        <is>
          <t>SKARA</t>
        </is>
      </c>
      <c r="F445" t="inlineStr">
        <is>
          <t>Sveaskog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1337-2025</t>
        </is>
      </c>
      <c r="B446" s="1" t="n">
        <v>45667</v>
      </c>
      <c r="C446" s="1" t="n">
        <v>45671</v>
      </c>
      <c r="D446" t="inlineStr">
        <is>
          <t>VÄSTRA GÖTALANDS LÄN</t>
        </is>
      </c>
      <c r="E446" t="inlineStr">
        <is>
          <t>SKARA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2025-01-14T16:18:48Z</dcterms:created>
  <dcterms:modified xmlns:dcterms="http://purl.org/dc/terms/" xmlns:xsi="http://www.w3.org/2001/XMLSchema-instance" xsi:type="dcterms:W3CDTF">2025-01-14T16:18:48Z</dcterms:modified>
</cp:coreProperties>
</file>