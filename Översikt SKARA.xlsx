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46227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46227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46227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46227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46227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46227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46227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46227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46227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46227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46227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Vågbandad barkbock</t>
        </is>
      </c>
      <c r="W19">
        <f>HYPERLINK("https://klasma.github.io/Logging_1495/artfynd/S 725-2026 artfynd.xlsx", "S 725-2026")</f>
        <v/>
      </c>
      <c r="X19">
        <f>HYPERLINK("https://klasma.github.io/Logging_1495/kartor/S 725-2026 karta.png", "S 725-2026")</f>
        <v/>
      </c>
      <c r="Y19">
        <f>HYPERLINK("https://klasma.github.io/Logging_1495/kartor_geotiff/S 725-2026 georefererad karta.tif", "S 725-2026")</f>
        <v/>
      </c>
      <c r="AA19">
        <f>HYPERLINK("https://klasma.github.io/Logging_1495/klagomål/S 725-2026 FSC-klagomål.docx", "S 725-2026")</f>
        <v/>
      </c>
      <c r="AB19">
        <f>HYPERLINK("https://klasma.github.io/Logging_1495/klagomålsmail/S 725-2026 FSC-klagomål mail.docx", "S 725-2026")</f>
        <v/>
      </c>
      <c r="AC19">
        <f>HYPERLINK("https://klasma.github.io/Logging_1495/tillsyn/S 725-2026 tillsynsbegäran.docx", "S 725-2026")</f>
        <v/>
      </c>
      <c r="AD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46227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46227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46227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46227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46227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46227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46227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46227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46227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46227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46227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46227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46227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46227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46227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46227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46227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46227</v>
      </c>
      <c r="F42" t="inlineStr">
        <is>
          <t>VÄSTRA GÖTALANDS LÄN</t>
        </is>
      </c>
      <c r="G42" t="inlineStr">
        <is>
          <t>SKARA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45313</v>
      </c>
      <c r="E43" s="1" t="n">
        <v>46227</v>
      </c>
      <c r="F43" t="inlineStr">
        <is>
          <t>VÄSTRA GÖTALANDS LÄN</t>
        </is>
      </c>
      <c r="G43" t="inlineStr">
        <is>
          <t>SKARA</t>
        </is>
      </c>
      <c r="I43" t="n">
        <v>11.7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46227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29255-2025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46227</v>
      </c>
      <c r="F45" t="inlineStr">
        <is>
          <t>VÄSTRA GÖTALANDS LÄN</t>
        </is>
      </c>
      <c r="G45" t="inlineStr">
        <is>
          <t>SKARA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45639</v>
      </c>
      <c r="E46" s="1" t="n">
        <v>46227</v>
      </c>
      <c r="F46" t="inlineStr">
        <is>
          <t>VÄSTRA GÖTALANDS LÄN</t>
        </is>
      </c>
      <c r="G46" t="inlineStr">
        <is>
          <t>SKARA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46227</v>
      </c>
      <c r="F47" t="inlineStr">
        <is>
          <t>VÄSTRA GÖTALANDS LÄN</t>
        </is>
      </c>
      <c r="G47" t="inlineStr">
        <is>
          <t>SKARA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45874</v>
      </c>
      <c r="E48" s="1" t="n">
        <v>46227</v>
      </c>
      <c r="F48" t="inlineStr">
        <is>
          <t>VÄSTRA GÖTALANDS LÄN</t>
        </is>
      </c>
      <c r="G48" t="inlineStr">
        <is>
          <t>SKARA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45288</v>
      </c>
      <c r="E49" s="1" t="n">
        <v>46227</v>
      </c>
      <c r="F49" t="inlineStr">
        <is>
          <t>VÄSTRA GÖTALANDS LÄN</t>
        </is>
      </c>
      <c r="G49" t="inlineStr">
        <is>
          <t>SKARA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45595</v>
      </c>
      <c r="E50" s="1" t="n">
        <v>46227</v>
      </c>
      <c r="F50" t="inlineStr">
        <is>
          <t>VÄSTRA GÖTALANDS LÄN</t>
        </is>
      </c>
      <c r="G50" t="inlineStr">
        <is>
          <t>SKARA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45635</v>
      </c>
      <c r="E51" s="1" t="n">
        <v>46227</v>
      </c>
      <c r="F51" t="inlineStr">
        <is>
          <t>VÄSTRA GÖTALANDS LÄN</t>
        </is>
      </c>
      <c r="G51" t="inlineStr">
        <is>
          <t>SKARA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46227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46227</v>
      </c>
      <c r="F53" t="inlineStr">
        <is>
          <t>VÄSTRA GÖTALANDS LÄN</t>
        </is>
      </c>
      <c r="G53" t="inlineStr">
        <is>
          <t>SKARA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45958</v>
      </c>
      <c r="E54" s="1" t="n">
        <v>46227</v>
      </c>
      <c r="F54" t="inlineStr">
        <is>
          <t>VÄSTRA GÖTALANDS LÄN</t>
        </is>
      </c>
      <c r="G54" t="inlineStr">
        <is>
          <t>SKARA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46227</v>
      </c>
      <c r="F55" t="inlineStr">
        <is>
          <t>VÄSTRA GÖTALANDS LÄN</t>
        </is>
      </c>
      <c r="G55" t="inlineStr">
        <is>
          <t>SKARA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46227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46227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39492-2025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46227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46227</v>
      </c>
      <c r="F59" t="inlineStr">
        <is>
          <t>VÄSTRA GÖTALANDS LÄN</t>
        </is>
      </c>
      <c r="G59" t="inlineStr">
        <is>
          <t>SKARA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45960</v>
      </c>
      <c r="E60" s="1" t="n">
        <v>46227</v>
      </c>
      <c r="F60" t="inlineStr">
        <is>
          <t>VÄSTRA GÖTALANDS LÄN</t>
        </is>
      </c>
      <c r="G60" t="inlineStr">
        <is>
          <t>SKARA</t>
        </is>
      </c>
      <c r="H60" t="inlineStr">
        <is>
          <t>Kyrkan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46227</v>
      </c>
      <c r="F61" t="inlineStr">
        <is>
          <t>VÄSTRA GÖTALANDS LÄN</t>
        </is>
      </c>
      <c r="G61" t="inlineStr">
        <is>
          <t>SKARA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25219-2025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45800</v>
      </c>
      <c r="E62" s="1" t="n">
        <v>46227</v>
      </c>
      <c r="F62" t="inlineStr">
        <is>
          <t>VÄSTRA GÖTALANDS LÄN</t>
        </is>
      </c>
      <c r="G62" t="inlineStr">
        <is>
          <t>SKARA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45086</v>
      </c>
      <c r="E63" s="1" t="n">
        <v>46227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46227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45817</v>
      </c>
      <c r="E65" s="1" t="n">
        <v>46227</v>
      </c>
      <c r="F65" t="inlineStr">
        <is>
          <t>VÄSTRA GÖTALANDS LÄN</t>
        </is>
      </c>
      <c r="G65" t="inlineStr">
        <is>
          <t>SKARA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46227</v>
      </c>
      <c r="F66" t="inlineStr">
        <is>
          <t>VÄSTRA GÖTALANDS LÄN</t>
        </is>
      </c>
      <c r="G66" t="inlineStr">
        <is>
          <t>SKARA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3144-2023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44946</v>
      </c>
      <c r="E67" s="1" t="n">
        <v>46227</v>
      </c>
      <c r="F67" t="inlineStr">
        <is>
          <t>VÄSTRA GÖTALANDS LÄN</t>
        </is>
      </c>
      <c r="G67" t="inlineStr">
        <is>
          <t>SKARA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46227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46227</v>
      </c>
      <c r="F69" t="inlineStr">
        <is>
          <t>VÄSTRA GÖTALANDS LÄN</t>
        </is>
      </c>
      <c r="G69" t="inlineStr">
        <is>
          <t>SKARA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46227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46227</v>
      </c>
      <c r="F71" t="inlineStr">
        <is>
          <t>VÄSTRA GÖTALANDS LÄN</t>
        </is>
      </c>
      <c r="G71" t="inlineStr">
        <is>
          <t>SKARA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46227</v>
      </c>
      <c r="F72" t="inlineStr">
        <is>
          <t>VÄSTRA GÖTALANDS LÄN</t>
        </is>
      </c>
      <c r="G72" t="inlineStr">
        <is>
          <t>SKARA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46227</v>
      </c>
      <c r="F73" t="inlineStr">
        <is>
          <t>VÄSTRA GÖTALANDS LÄN</t>
        </is>
      </c>
      <c r="G73" t="inlineStr">
        <is>
          <t>SKARA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44953</v>
      </c>
      <c r="E74" s="1" t="n">
        <v>46227</v>
      </c>
      <c r="F74" t="inlineStr">
        <is>
          <t>VÄSTRA GÖTALANDS LÄN</t>
        </is>
      </c>
      <c r="G74" t="inlineStr">
        <is>
          <t>SKARA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46227</v>
      </c>
      <c r="F75" t="inlineStr">
        <is>
          <t>VÄSTRA GÖTALANDS LÄN</t>
        </is>
      </c>
      <c r="G75" t="inlineStr">
        <is>
          <t>SKARA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46227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45554</v>
      </c>
      <c r="E77" s="1" t="n">
        <v>46227</v>
      </c>
      <c r="F77" t="inlineStr">
        <is>
          <t>VÄSTRA GÖTALANDS LÄN</t>
        </is>
      </c>
      <c r="G77" t="inlineStr">
        <is>
          <t>SKARA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46227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46227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46227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18704-2022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46227</v>
      </c>
      <c r="F81" t="inlineStr">
        <is>
          <t>VÄSTRA GÖTALANDS LÄN</t>
        </is>
      </c>
      <c r="G81" t="inlineStr">
        <is>
          <t>SKARA</t>
        </is>
      </c>
      <c r="H81" t="inlineStr">
        <is>
          <t>Kommuner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45258</v>
      </c>
      <c r="E82" s="1" t="n">
        <v>46227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46227</v>
      </c>
      <c r="F83" t="inlineStr">
        <is>
          <t>VÄSTRA GÖTALANDS LÄN</t>
        </is>
      </c>
      <c r="G83" t="inlineStr">
        <is>
          <t>SKARA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46227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45713</v>
      </c>
      <c r="E85" s="1" t="n">
        <v>46227</v>
      </c>
      <c r="F85" t="inlineStr">
        <is>
          <t>VÄSTRA GÖTALANDS LÄN</t>
        </is>
      </c>
      <c r="G85" t="inlineStr">
        <is>
          <t>SKARA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46227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46227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46227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46227</v>
      </c>
      <c r="F89" t="inlineStr">
        <is>
          <t>VÄSTRA GÖTALANDS LÄN</t>
        </is>
      </c>
      <c r="G89" t="inlineStr">
        <is>
          <t>SKARA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46001</v>
      </c>
      <c r="E90" s="1" t="n">
        <v>46227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60840-2021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46227</v>
      </c>
      <c r="F91" t="inlineStr">
        <is>
          <t>VÄSTRA GÖTALANDS LÄN</t>
        </is>
      </c>
      <c r="G91" t="inlineStr">
        <is>
          <t>SKARA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46227</v>
      </c>
      <c r="F92" t="inlineStr">
        <is>
          <t>VÄSTRA GÖTALANDS LÄN</t>
        </is>
      </c>
      <c r="G92" t="inlineStr">
        <is>
          <t>SKARA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46227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46227</v>
      </c>
      <c r="F94" t="inlineStr">
        <is>
          <t>VÄSTRA GÖTALANDS LÄN</t>
        </is>
      </c>
      <c r="G94" t="inlineStr">
        <is>
          <t>SKARA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44970</v>
      </c>
      <c r="E95" s="1" t="n">
        <v>46227</v>
      </c>
      <c r="F95" t="inlineStr">
        <is>
          <t>VÄSTRA GÖTALANDS LÄN</t>
        </is>
      </c>
      <c r="G95" t="inlineStr">
        <is>
          <t>SKARA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46227</v>
      </c>
      <c r="F96" t="inlineStr">
        <is>
          <t>VÄSTRA GÖTALANDS LÄN</t>
        </is>
      </c>
      <c r="G96" t="inlineStr">
        <is>
          <t>SKARA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32668-2024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45514</v>
      </c>
      <c r="E97" s="1" t="n">
        <v>46227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31128-2023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46227</v>
      </c>
      <c r="F98" t="inlineStr">
        <is>
          <t>VÄSTRA GÖTALANDS LÄN</t>
        </is>
      </c>
      <c r="G98" t="inlineStr">
        <is>
          <t>SKARA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46227</v>
      </c>
      <c r="F99" t="inlineStr">
        <is>
          <t>VÄSTRA GÖTALANDS LÄN</t>
        </is>
      </c>
      <c r="G99" t="inlineStr">
        <is>
          <t>SKARA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46227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44990</v>
      </c>
      <c r="E101" s="1" t="n">
        <v>46227</v>
      </c>
      <c r="F101" t="inlineStr">
        <is>
          <t>VÄSTRA GÖTALANDS LÄN</t>
        </is>
      </c>
      <c r="G101" t="inlineStr">
        <is>
          <t>SKARA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45098</v>
      </c>
      <c r="E102" s="1" t="n">
        <v>46227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42874-2022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44832</v>
      </c>
      <c r="E103" s="1" t="n">
        <v>46227</v>
      </c>
      <c r="F103" t="inlineStr">
        <is>
          <t>VÄSTRA GÖTALANDS LÄN</t>
        </is>
      </c>
      <c r="G103" t="inlineStr">
        <is>
          <t>SKARA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46227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45667</v>
      </c>
      <c r="E105" s="1" t="n">
        <v>46227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45945</v>
      </c>
      <c r="E106" s="1" t="n">
        <v>46227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45288</v>
      </c>
      <c r="E107" s="1" t="n">
        <v>46227</v>
      </c>
      <c r="F107" t="inlineStr">
        <is>
          <t>VÄSTRA GÖTALANDS LÄN</t>
        </is>
      </c>
      <c r="G107" t="inlineStr">
        <is>
          <t>SKARA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46227</v>
      </c>
      <c r="F108" t="inlineStr">
        <is>
          <t>VÄSTRA GÖTALANDS LÄN</t>
        </is>
      </c>
      <c r="G108" t="inlineStr">
        <is>
          <t>SKARA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45043</v>
      </c>
      <c r="E109" s="1" t="n">
        <v>46227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46052</v>
      </c>
      <c r="E110" s="1" t="n">
        <v>46227</v>
      </c>
      <c r="F110" t="inlineStr">
        <is>
          <t>VÄSTRA GÖTALANDS LÄN</t>
        </is>
      </c>
      <c r="G110" t="inlineStr">
        <is>
          <t>SKARA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46227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46052</v>
      </c>
      <c r="E112" s="1" t="n">
        <v>46227</v>
      </c>
      <c r="F112" t="inlineStr">
        <is>
          <t>VÄSTRA GÖTALANDS LÄN</t>
        </is>
      </c>
      <c r="G112" t="inlineStr">
        <is>
          <t>SKARA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45492</v>
      </c>
      <c r="E113" s="1" t="n">
        <v>46227</v>
      </c>
      <c r="F113" t="inlineStr">
        <is>
          <t>VÄSTRA GÖTALANDS LÄN</t>
        </is>
      </c>
      <c r="G113" t="inlineStr">
        <is>
          <t>SKARA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46059</v>
      </c>
      <c r="E114" s="1" t="n">
        <v>46227</v>
      </c>
      <c r="F114" t="inlineStr">
        <is>
          <t>VÄSTRA GÖTALANDS LÄN</t>
        </is>
      </c>
      <c r="G114" t="inlineStr">
        <is>
          <t>SKARA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46227</v>
      </c>
      <c r="F115" t="inlineStr">
        <is>
          <t>VÄSTRA GÖTALANDS LÄN</t>
        </is>
      </c>
      <c r="G115" t="inlineStr">
        <is>
          <t>SKARA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46227</v>
      </c>
      <c r="F116" t="inlineStr">
        <is>
          <t>VÄSTRA GÖTALANDS LÄN</t>
        </is>
      </c>
      <c r="G116" t="inlineStr">
        <is>
          <t>SKARA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46227</v>
      </c>
      <c r="F117" t="inlineStr">
        <is>
          <t>VÄSTRA GÖTALANDS LÄN</t>
        </is>
      </c>
      <c r="G117" t="inlineStr">
        <is>
          <t>SKARA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46227</v>
      </c>
      <c r="F118" t="inlineStr">
        <is>
          <t>VÄSTRA GÖTALANDS LÄN</t>
        </is>
      </c>
      <c r="G118" t="inlineStr">
        <is>
          <t>SKARA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46227</v>
      </c>
      <c r="F119" t="inlineStr">
        <is>
          <t>VÄSTRA GÖTALANDS LÄN</t>
        </is>
      </c>
      <c r="G119" t="inlineStr">
        <is>
          <t>SKARA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36041-2023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45149</v>
      </c>
      <c r="E120" s="1" t="n">
        <v>46227</v>
      </c>
      <c r="F120" t="inlineStr">
        <is>
          <t>VÄSTRA GÖTALANDS LÄN</t>
        </is>
      </c>
      <c r="G120" t="inlineStr">
        <is>
          <t>SKARA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36045-2023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45149</v>
      </c>
      <c r="E121" s="1" t="n">
        <v>46227</v>
      </c>
      <c r="F121" t="inlineStr">
        <is>
          <t>VÄSTRA GÖTALANDS LÄN</t>
        </is>
      </c>
      <c r="G121" t="inlineStr">
        <is>
          <t>SKARA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46227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30019-2023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45109</v>
      </c>
      <c r="E123" s="1" t="n">
        <v>46227</v>
      </c>
      <c r="F123" t="inlineStr">
        <is>
          <t>VÄSTRA GÖTALANDS LÄN</t>
        </is>
      </c>
      <c r="G123" t="inlineStr">
        <is>
          <t>SKARA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46227</v>
      </c>
      <c r="F124" t="inlineStr">
        <is>
          <t>VÄSTRA GÖTALANDS LÄN</t>
        </is>
      </c>
      <c r="G124" t="inlineStr">
        <is>
          <t>SKARA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46227</v>
      </c>
      <c r="F125" t="inlineStr">
        <is>
          <t>VÄSTRA GÖTALANDS LÄN</t>
        </is>
      </c>
      <c r="G125" t="inlineStr">
        <is>
          <t>SKARA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46227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12332-2026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46087</v>
      </c>
      <c r="E127" s="1" t="n">
        <v>46227</v>
      </c>
      <c r="F127" t="inlineStr">
        <is>
          <t>VÄSTRA GÖTALANDS LÄN</t>
        </is>
      </c>
      <c r="G127" t="inlineStr">
        <is>
          <t>SKARA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46227</v>
      </c>
      <c r="F128" t="inlineStr">
        <is>
          <t>VÄSTRA GÖTALANDS LÄN</t>
        </is>
      </c>
      <c r="G128" t="inlineStr">
        <is>
          <t>SKARA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46227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46227</v>
      </c>
      <c r="F130" t="inlineStr">
        <is>
          <t>VÄSTRA GÖTALANDS LÄN</t>
        </is>
      </c>
      <c r="G130" t="inlineStr">
        <is>
          <t>SKARA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46227</v>
      </c>
      <c r="F131" t="inlineStr">
        <is>
          <t>VÄSTRA GÖTALANDS LÄN</t>
        </is>
      </c>
      <c r="G131" t="inlineStr">
        <is>
          <t>SKARA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46227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46227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45309</v>
      </c>
      <c r="E134" s="1" t="n">
        <v>46227</v>
      </c>
      <c r="F134" t="inlineStr">
        <is>
          <t>VÄSTRA GÖTALANDS LÄN</t>
        </is>
      </c>
      <c r="G134" t="inlineStr">
        <is>
          <t>SKARA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46227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45492</v>
      </c>
      <c r="E136" s="1" t="n">
        <v>46227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46227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46108</v>
      </c>
      <c r="E138" s="1" t="n">
        <v>46227</v>
      </c>
      <c r="F138" t="inlineStr">
        <is>
          <t>VÄSTRA GÖTALANDS LÄN</t>
        </is>
      </c>
      <c r="G138" t="inlineStr">
        <is>
          <t>SKARA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46227</v>
      </c>
      <c r="F139" t="inlineStr">
        <is>
          <t>VÄSTRA GÖTALANDS LÄN</t>
        </is>
      </c>
      <c r="G139" t="inlineStr">
        <is>
          <t>SKARA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46227</v>
      </c>
      <c r="F140" t="inlineStr">
        <is>
          <t>VÄSTRA GÖTALANDS LÄN</t>
        </is>
      </c>
      <c r="G140" t="inlineStr">
        <is>
          <t>SKARA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16187-2026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46227</v>
      </c>
      <c r="F141" t="inlineStr">
        <is>
          <t>VÄSTRA GÖTALANDS LÄN</t>
        </is>
      </c>
      <c r="G141" t="inlineStr">
        <is>
          <t>SKARA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46227</v>
      </c>
      <c r="F142" t="inlineStr">
        <is>
          <t>VÄSTRA GÖTALANDS LÄN</t>
        </is>
      </c>
      <c r="G142" t="inlineStr">
        <is>
          <t>SKARA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46227</v>
      </c>
      <c r="F143" t="inlineStr">
        <is>
          <t>VÄSTRA GÖTALANDS LÄN</t>
        </is>
      </c>
      <c r="G143" t="inlineStr">
        <is>
          <t>SKARA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46113</v>
      </c>
      <c r="E144" s="1" t="n">
        <v>46227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46227</v>
      </c>
      <c r="F145" t="inlineStr">
        <is>
          <t>VÄSTRA GÖTALANDS LÄN</t>
        </is>
      </c>
      <c r="G145" t="inlineStr">
        <is>
          <t>SKARA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46227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Kommuner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46227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46227</v>
      </c>
      <c r="F148" t="inlineStr">
        <is>
          <t>VÄSTRA GÖTALANDS LÄN</t>
        </is>
      </c>
      <c r="G148" t="inlineStr">
        <is>
          <t>SKARA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46227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46227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46227</v>
      </c>
      <c r="F151" t="inlineStr">
        <is>
          <t>VÄSTRA GÖTALANDS LÄN</t>
        </is>
      </c>
      <c r="G151" t="inlineStr">
        <is>
          <t>SKARA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46129</v>
      </c>
      <c r="E152" s="1" t="n">
        <v>46227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19950-2026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46136</v>
      </c>
      <c r="E153" s="1" t="n">
        <v>46227</v>
      </c>
      <c r="F153" t="inlineStr">
        <is>
          <t>VÄSTRA GÖTALANDS LÄN</t>
        </is>
      </c>
      <c r="G153" t="inlineStr">
        <is>
          <t>SKARA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46227</v>
      </c>
      <c r="F154" t="inlineStr">
        <is>
          <t>VÄSTRA GÖTALANDS LÄN</t>
        </is>
      </c>
      <c r="G154" t="inlineStr">
        <is>
          <t>SKARA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46227</v>
      </c>
      <c r="F155" t="inlineStr">
        <is>
          <t>VÄSTRA GÖTALANDS LÄN</t>
        </is>
      </c>
      <c r="G155" t="inlineStr">
        <is>
          <t>SKARA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45763</v>
      </c>
      <c r="E156" s="1" t="n">
        <v>46227</v>
      </c>
      <c r="F156" t="inlineStr">
        <is>
          <t>VÄSTRA GÖTALANDS LÄN</t>
        </is>
      </c>
      <c r="G156" t="inlineStr">
        <is>
          <t>SKARA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46227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46227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46227</v>
      </c>
      <c r="F159" t="inlineStr">
        <is>
          <t>VÄSTRA GÖTALANDS LÄN</t>
        </is>
      </c>
      <c r="G159" t="inlineStr">
        <is>
          <t>SKARA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46227</v>
      </c>
      <c r="F160" t="inlineStr">
        <is>
          <t>VÄSTRA GÖTALANDS LÄN</t>
        </is>
      </c>
      <c r="G160" t="inlineStr">
        <is>
          <t>SKARA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45420</v>
      </c>
      <c r="E161" s="1" t="n">
        <v>46227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44701</v>
      </c>
      <c r="E162" s="1" t="n">
        <v>46227</v>
      </c>
      <c r="F162" t="inlineStr">
        <is>
          <t>VÄSTRA GÖTALANDS LÄN</t>
        </is>
      </c>
      <c r="G162" t="inlineStr">
        <is>
          <t>SKARA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46227</v>
      </c>
      <c r="F163" t="inlineStr">
        <is>
          <t>VÄSTRA GÖTALANDS LÄN</t>
        </is>
      </c>
      <c r="G163" t="inlineStr">
        <is>
          <t>SKARA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27478-2026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46189</v>
      </c>
      <c r="E164" s="1" t="n">
        <v>46227</v>
      </c>
      <c r="F164" t="inlineStr">
        <is>
          <t>VÄSTRA GÖTALANDS LÄN</t>
        </is>
      </c>
      <c r="G164" t="inlineStr">
        <is>
          <t>SKARA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46227</v>
      </c>
      <c r="F165" t="inlineStr">
        <is>
          <t>VÄSTRA GÖTALANDS LÄN</t>
        </is>
      </c>
      <c r="G165" t="inlineStr">
        <is>
          <t>SKARA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46227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46227</v>
      </c>
      <c r="F167" t="inlineStr">
        <is>
          <t>VÄSTRA GÖTALANDS LÄN</t>
        </is>
      </c>
      <c r="G167" t="inlineStr">
        <is>
          <t>SKARA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46227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18701-2022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44687</v>
      </c>
      <c r="E169" s="1" t="n">
        <v>46227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46227</v>
      </c>
      <c r="F170" t="inlineStr">
        <is>
          <t>VÄSTRA GÖTALANDS LÄN</t>
        </is>
      </c>
      <c r="G170" t="inlineStr">
        <is>
          <t>SKARA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46227</v>
      </c>
      <c r="F171" t="inlineStr">
        <is>
          <t>VÄSTRA GÖTALANDS LÄN</t>
        </is>
      </c>
      <c r="G171" t="inlineStr">
        <is>
          <t>SKARA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46227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46227</v>
      </c>
      <c r="F173" t="inlineStr">
        <is>
          <t>VÄSTRA GÖTALANDS LÄN</t>
        </is>
      </c>
      <c r="G173" t="inlineStr">
        <is>
          <t>SKARA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46227</v>
      </c>
      <c r="F174" t="inlineStr">
        <is>
          <t>VÄSTRA GÖTALANDS LÄN</t>
        </is>
      </c>
      <c r="G174" t="inlineStr">
        <is>
          <t>SKARA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46227</v>
      </c>
      <c r="F175" t="inlineStr">
        <is>
          <t>VÄSTRA GÖTALANDS LÄN</t>
        </is>
      </c>
      <c r="G175" t="inlineStr">
        <is>
          <t>SKARA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46227</v>
      </c>
      <c r="F176" t="inlineStr">
        <is>
          <t>VÄSTRA GÖTALANDS LÄN</t>
        </is>
      </c>
      <c r="G176" t="inlineStr">
        <is>
          <t>SKARA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44887</v>
      </c>
      <c r="E177" s="1" t="n">
        <v>46227</v>
      </c>
      <c r="F177" t="inlineStr">
        <is>
          <t>VÄSTRA GÖTALANDS LÄN</t>
        </is>
      </c>
      <c r="G177" t="inlineStr">
        <is>
          <t>SKARA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46227</v>
      </c>
      <c r="F178" t="inlineStr">
        <is>
          <t>VÄSTRA GÖTALANDS LÄN</t>
        </is>
      </c>
      <c r="G178" t="inlineStr">
        <is>
          <t>SKARA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46227</v>
      </c>
      <c r="F179" t="inlineStr">
        <is>
          <t>VÄSTRA GÖTALANDS LÄN</t>
        </is>
      </c>
      <c r="G179" t="inlineStr">
        <is>
          <t>SKARA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46227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46227</v>
      </c>
      <c r="F181" t="inlineStr">
        <is>
          <t>VÄSTRA GÖTALANDS LÄN</t>
        </is>
      </c>
      <c r="G181" t="inlineStr">
        <is>
          <t>SKARA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46227</v>
      </c>
      <c r="F182" t="inlineStr">
        <is>
          <t>VÄSTRA GÖTALANDS LÄN</t>
        </is>
      </c>
      <c r="G182" t="inlineStr">
        <is>
          <t>SKARA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46227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46168</v>
      </c>
      <c r="E184" s="1" t="n">
        <v>46227</v>
      </c>
      <c r="F184" t="inlineStr">
        <is>
          <t>VÄSTRA GÖTALANDS LÄN</t>
        </is>
      </c>
      <c r="G184" t="inlineStr">
        <is>
          <t>SKARA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44995</v>
      </c>
      <c r="E185" s="1" t="n">
        <v>46227</v>
      </c>
      <c r="F185" t="inlineStr">
        <is>
          <t>VÄSTRA GÖTALANDS LÄN</t>
        </is>
      </c>
      <c r="G185" t="inlineStr">
        <is>
          <t>SKARA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46227</v>
      </c>
      <c r="F186" t="inlineStr">
        <is>
          <t>VÄSTRA GÖTALANDS LÄN</t>
        </is>
      </c>
      <c r="G186" t="inlineStr">
        <is>
          <t>SKARA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46227</v>
      </c>
      <c r="F187" t="inlineStr">
        <is>
          <t>VÄSTRA GÖTALANDS LÄN</t>
        </is>
      </c>
      <c r="G187" t="inlineStr">
        <is>
          <t>SKARA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46227</v>
      </c>
      <c r="F188" t="inlineStr">
        <is>
          <t>VÄSTRA GÖTALANDS LÄN</t>
        </is>
      </c>
      <c r="G188" t="inlineStr">
        <is>
          <t>SKARA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46168</v>
      </c>
      <c r="E189" s="1" t="n">
        <v>46227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46227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46227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46203</v>
      </c>
      <c r="E192" s="1" t="n">
        <v>46227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45145</v>
      </c>
      <c r="E193" s="1" t="n">
        <v>46227</v>
      </c>
      <c r="F193" t="inlineStr">
        <is>
          <t>VÄSTRA GÖTALANDS LÄN</t>
        </is>
      </c>
      <c r="G193" t="inlineStr">
        <is>
          <t>SKARA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46227</v>
      </c>
      <c r="F194" t="inlineStr">
        <is>
          <t>VÄSTRA GÖTALANDS LÄN</t>
        </is>
      </c>
      <c r="G194" t="inlineStr">
        <is>
          <t>SKARA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43564-2021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46227</v>
      </c>
      <c r="F195" t="inlineStr">
        <is>
          <t>VÄSTRA GÖTALANDS LÄN</t>
        </is>
      </c>
      <c r="G195" t="inlineStr">
        <is>
          <t>SKARA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46227</v>
      </c>
      <c r="F196" t="inlineStr">
        <is>
          <t>VÄSTRA GÖTALANDS LÄN</t>
        </is>
      </c>
      <c r="G196" t="inlineStr">
        <is>
          <t>SKARA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46227</v>
      </c>
      <c r="F197" t="inlineStr">
        <is>
          <t>VÄSTRA GÖTALANDS LÄN</t>
        </is>
      </c>
      <c r="G197" t="inlineStr">
        <is>
          <t>SKARA</t>
        </is>
      </c>
      <c r="I197" t="n">
        <v>21.6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45224</v>
      </c>
      <c r="E198" s="1" t="n">
        <v>46227</v>
      </c>
      <c r="F198" t="inlineStr">
        <is>
          <t>VÄSTRA GÖTALANDS LÄN</t>
        </is>
      </c>
      <c r="G198" t="inlineStr">
        <is>
          <t>SKARA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46227</v>
      </c>
      <c r="F199" t="inlineStr">
        <is>
          <t>VÄSTRA GÖTALANDS LÄN</t>
        </is>
      </c>
      <c r="G199" t="inlineStr">
        <is>
          <t>SKARA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46227</v>
      </c>
      <c r="F200" t="inlineStr">
        <is>
          <t>VÄSTRA GÖTALANDS LÄN</t>
        </is>
      </c>
      <c r="G200" t="inlineStr">
        <is>
          <t>SKARA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46227</v>
      </c>
      <c r="F201" t="inlineStr">
        <is>
          <t>VÄSTRA GÖTALANDS LÄN</t>
        </is>
      </c>
      <c r="G201" t="inlineStr">
        <is>
          <t>SKARA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46227</v>
      </c>
      <c r="F202" t="inlineStr">
        <is>
          <t>VÄSTRA GÖTALANDS LÄN</t>
        </is>
      </c>
      <c r="G202" t="inlineStr">
        <is>
          <t>SKARA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46227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46227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46227</v>
      </c>
      <c r="F205" t="inlineStr">
        <is>
          <t>VÄSTRA GÖTALANDS LÄN</t>
        </is>
      </c>
      <c r="G205" t="inlineStr">
        <is>
          <t>SKARA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46227</v>
      </c>
      <c r="F206" t="inlineStr">
        <is>
          <t>VÄSTRA GÖTALANDS LÄN</t>
        </is>
      </c>
      <c r="G206" t="inlineStr">
        <is>
          <t>SKARA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46227</v>
      </c>
      <c r="F207" t="inlineStr">
        <is>
          <t>VÄSTRA GÖTALANDS LÄN</t>
        </is>
      </c>
      <c r="G207" t="inlineStr">
        <is>
          <t>SKARA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46227</v>
      </c>
      <c r="F208" t="inlineStr">
        <is>
          <t>VÄSTRA GÖTALANDS LÄN</t>
        </is>
      </c>
      <c r="G208" t="inlineStr">
        <is>
          <t>SKARA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46227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46227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46227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46227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2026-07-24T01:46:25Z</dcterms:created>
  <dcterms:modified xmlns:dcterms="http://purl.org/dc/terms/" xmlns:xsi="http://www.w3.org/2001/XMLSchema-instance" xsi:type="dcterms:W3CDTF">2026-07-24T01:46:26Z</dcterms:modified>
</cp:coreProperties>
</file>