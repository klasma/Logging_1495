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46286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46286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46286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46286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46286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46286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46286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46286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46286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46286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46286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46286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46286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46286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46286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46286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46286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46286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A 20063-2025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45772</v>
      </c>
      <c r="E20" s="1" t="n">
        <v>46286</v>
      </c>
      <c r="F20" t="inlineStr">
        <is>
          <t>VÄSTRA GÖTALANDS LÄN</t>
        </is>
      </c>
      <c r="G20" t="inlineStr">
        <is>
          <t>SKARA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Skinntagging</t>
        </is>
      </c>
      <c r="W20">
        <f>HYPERLINK("https://klasma.github.io/Logging_1495/artfynd/A 20063-2025 artfynd.xlsx", "A 20063-2025")</f>
        <v/>
      </c>
      <c r="X20">
        <f>HYPERLINK("https://klasma.github.io/Logging_1495/kartor/A 20063-2025 karta.png", "A 20063-2025")</f>
        <v/>
      </c>
      <c r="Y20">
        <f>HYPERLINK("https://klasma.github.io/Logging_1495/kartor_geotiff/A 20063-2025 georefererad karta.tif", "A 20063-2025")</f>
        <v/>
      </c>
      <c r="AA20">
        <f>HYPERLINK("https://klasma.github.io/Logging_1495/klagomål/A 20063-2025 FSC-klagomål.docx", "A 20063-2025")</f>
        <v/>
      </c>
      <c r="AB20">
        <f>HYPERLINK("https://klasma.github.io/Logging_1495/klagomålsmail/A 20063-2025 FSC-klagomål mail.docx", "A 20063-2025")</f>
        <v/>
      </c>
      <c r="AC20">
        <f>HYPERLINK("https://klasma.github.io/Logging_1495/tillsyn/A 20063-2025 tillsynsbegäran.docx", "A 20063-2025")</f>
        <v/>
      </c>
      <c r="AD20">
        <f>HYPERLINK("https://klasma.github.io/Logging_1495/tillsynsmail/A 20063-2025 tillsynsbegäran mail.docx", "A 20063-2025")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46286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46286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46286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46286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46286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46286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46286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46286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46286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46286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46286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46286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46286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46286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46286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46286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46286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46286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46286</v>
      </c>
      <c r="F39" t="inlineStr">
        <is>
          <t>VÄSTRA GÖTALANDS LÄN</t>
        </is>
      </c>
      <c r="G39" t="inlineStr">
        <is>
          <t>SKARA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46286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46286</v>
      </c>
      <c r="F41" t="inlineStr">
        <is>
          <t>VÄSTRA GÖTALANDS LÄN</t>
        </is>
      </c>
      <c r="G41" t="inlineStr">
        <is>
          <t>SKARA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46286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45469</v>
      </c>
      <c r="E43" s="1" t="n">
        <v>46286</v>
      </c>
      <c r="F43" t="inlineStr">
        <is>
          <t>VÄSTRA GÖTALANDS LÄN</t>
        </is>
      </c>
      <c r="G43" t="inlineStr">
        <is>
          <t>SKARA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46286</v>
      </c>
      <c r="F44" t="inlineStr">
        <is>
          <t>VÄSTRA GÖTALANDS LÄN</t>
        </is>
      </c>
      <c r="G44" t="inlineStr">
        <is>
          <t>SKARA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46286</v>
      </c>
      <c r="F45" t="inlineStr">
        <is>
          <t>VÄSTRA GÖTALANDS LÄN</t>
        </is>
      </c>
      <c r="G45" t="inlineStr">
        <is>
          <t>SKARA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46286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46286</v>
      </c>
      <c r="F47" t="inlineStr">
        <is>
          <t>VÄSTRA GÖTALANDS LÄN</t>
        </is>
      </c>
      <c r="G47" t="inlineStr">
        <is>
          <t>SKARA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46286</v>
      </c>
      <c r="F48" t="inlineStr">
        <is>
          <t>VÄSTRA GÖTALANDS LÄN</t>
        </is>
      </c>
      <c r="G48" t="inlineStr">
        <is>
          <t>SKARA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46286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46286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20470-2024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45435</v>
      </c>
      <c r="E51" s="1" t="n">
        <v>46286</v>
      </c>
      <c r="F51" t="inlineStr">
        <is>
          <t>VÄSTRA GÖTALANDS LÄN</t>
        </is>
      </c>
      <c r="G51" t="inlineStr">
        <is>
          <t>SKARA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46286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45309</v>
      </c>
      <c r="E53" s="1" t="n">
        <v>46286</v>
      </c>
      <c r="F53" t="inlineStr">
        <is>
          <t>VÄSTRA GÖTALANDS LÄN</t>
        </is>
      </c>
      <c r="G53" t="inlineStr">
        <is>
          <t>SKARA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46286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46286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46286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46286</v>
      </c>
      <c r="F57" t="inlineStr">
        <is>
          <t>VÄSTRA GÖTALANDS LÄN</t>
        </is>
      </c>
      <c r="G57" t="inlineStr">
        <is>
          <t>SKARA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46286</v>
      </c>
      <c r="F58" t="inlineStr">
        <is>
          <t>VÄSTRA GÖTALANDS LÄN</t>
        </is>
      </c>
      <c r="G58" t="inlineStr">
        <is>
          <t>SKARA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46286</v>
      </c>
      <c r="F59" t="inlineStr">
        <is>
          <t>VÄSTRA GÖTALANDS LÄN</t>
        </is>
      </c>
      <c r="G59" t="inlineStr">
        <is>
          <t>SKARA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46286</v>
      </c>
      <c r="F60" t="inlineStr">
        <is>
          <t>VÄSTRA GÖTALANDS LÄN</t>
        </is>
      </c>
      <c r="G60" t="inlineStr">
        <is>
          <t>SKARA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46286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46286</v>
      </c>
      <c r="F62" t="inlineStr">
        <is>
          <t>VÄSTRA GÖTALANDS LÄN</t>
        </is>
      </c>
      <c r="G62" t="inlineStr">
        <is>
          <t>SKARA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46286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46286</v>
      </c>
      <c r="F64" t="inlineStr">
        <is>
          <t>VÄSTRA GÖTALANDS LÄN</t>
        </is>
      </c>
      <c r="G64" t="inlineStr">
        <is>
          <t>SKARA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46286</v>
      </c>
      <c r="F65" t="inlineStr">
        <is>
          <t>VÄSTRA GÖTALANDS LÄN</t>
        </is>
      </c>
      <c r="G65" t="inlineStr">
        <is>
          <t>SKARA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46286</v>
      </c>
      <c r="F66" t="inlineStr">
        <is>
          <t>VÄSTRA GÖTALANDS LÄN</t>
        </is>
      </c>
      <c r="G66" t="inlineStr">
        <is>
          <t>SKARA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46286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64551-2023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46286</v>
      </c>
      <c r="F68" t="inlineStr">
        <is>
          <t>VÄSTRA GÖTALANDS LÄN</t>
        </is>
      </c>
      <c r="G68" t="inlineStr">
        <is>
          <t>SKARA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45299</v>
      </c>
      <c r="E69" s="1" t="n">
        <v>46286</v>
      </c>
      <c r="F69" t="inlineStr">
        <is>
          <t>VÄSTRA GÖTALANDS LÄN</t>
        </is>
      </c>
      <c r="G69" t="inlineStr">
        <is>
          <t>SKARA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46286</v>
      </c>
      <c r="F70" t="inlineStr">
        <is>
          <t>VÄSTRA GÖTALANDS LÄN</t>
        </is>
      </c>
      <c r="G70" t="inlineStr">
        <is>
          <t>SKARA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46286</v>
      </c>
      <c r="F71" t="inlineStr">
        <is>
          <t>VÄSTRA GÖTALANDS LÄN</t>
        </is>
      </c>
      <c r="G71" t="inlineStr">
        <is>
          <t>SKARA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46286</v>
      </c>
      <c r="F72" t="inlineStr">
        <is>
          <t>VÄSTRA GÖTALANDS LÄN</t>
        </is>
      </c>
      <c r="G72" t="inlineStr">
        <is>
          <t>SKARA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44856</v>
      </c>
      <c r="E73" s="1" t="n">
        <v>46286</v>
      </c>
      <c r="F73" t="inlineStr">
        <is>
          <t>VÄSTRA GÖTALANDS LÄN</t>
        </is>
      </c>
      <c r="G73" t="inlineStr">
        <is>
          <t>SKARA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46286</v>
      </c>
      <c r="F74" t="inlineStr">
        <is>
          <t>VÄSTRA GÖTALANDS LÄN</t>
        </is>
      </c>
      <c r="G74" t="inlineStr">
        <is>
          <t>SKARA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46286</v>
      </c>
      <c r="F75" t="inlineStr">
        <is>
          <t>VÄSTRA GÖTALANDS LÄN</t>
        </is>
      </c>
      <c r="G75" t="inlineStr">
        <is>
          <t>SKARA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45091</v>
      </c>
      <c r="E76" s="1" t="n">
        <v>46286</v>
      </c>
      <c r="F76" t="inlineStr">
        <is>
          <t>VÄSTRA GÖTALANDS LÄN</t>
        </is>
      </c>
      <c r="G76" t="inlineStr">
        <is>
          <t>SKARA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46286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46286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45335</v>
      </c>
      <c r="E79" s="1" t="n">
        <v>46286</v>
      </c>
      <c r="F79" t="inlineStr">
        <is>
          <t>VÄSTRA GÖTALANDS LÄN</t>
        </is>
      </c>
      <c r="G79" t="inlineStr">
        <is>
          <t>SKARA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46286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46286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45874</v>
      </c>
      <c r="E82" s="1" t="n">
        <v>46286</v>
      </c>
      <c r="F82" t="inlineStr">
        <is>
          <t>VÄSTRA GÖTALANDS LÄN</t>
        </is>
      </c>
      <c r="G82" t="inlineStr">
        <is>
          <t>SKARA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46286</v>
      </c>
      <c r="F83" t="inlineStr">
        <is>
          <t>VÄSTRA GÖTALANDS LÄN</t>
        </is>
      </c>
      <c r="G83" t="inlineStr">
        <is>
          <t>SKARA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45800</v>
      </c>
      <c r="E84" s="1" t="n">
        <v>46286</v>
      </c>
      <c r="F84" t="inlineStr">
        <is>
          <t>VÄSTRA GÖTALANDS LÄN</t>
        </is>
      </c>
      <c r="G84" t="inlineStr">
        <is>
          <t>SKARA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46286</v>
      </c>
      <c r="F85" t="inlineStr">
        <is>
          <t>VÄSTRA GÖTALANDS LÄN</t>
        </is>
      </c>
      <c r="G85" t="inlineStr">
        <is>
          <t>SKARA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46286</v>
      </c>
      <c r="F86" t="inlineStr">
        <is>
          <t>VÄSTRA GÖTALANDS LÄN</t>
        </is>
      </c>
      <c r="G86" t="inlineStr">
        <is>
          <t>SKARA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44827</v>
      </c>
      <c r="E87" s="1" t="n">
        <v>46286</v>
      </c>
      <c r="F87" t="inlineStr">
        <is>
          <t>VÄSTRA GÖTALANDS LÄN</t>
        </is>
      </c>
      <c r="G87" t="inlineStr">
        <is>
          <t>SKARA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46286</v>
      </c>
      <c r="F88" t="inlineStr">
        <is>
          <t>VÄSTRA GÖTALANDS LÄN</t>
        </is>
      </c>
      <c r="G88" t="inlineStr">
        <is>
          <t>SKARA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45098</v>
      </c>
      <c r="E89" s="1" t="n">
        <v>46286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44990</v>
      </c>
      <c r="E90" s="1" t="n">
        <v>46286</v>
      </c>
      <c r="F90" t="inlineStr">
        <is>
          <t>VÄSTRA GÖTALANDS LÄN</t>
        </is>
      </c>
      <c r="G90" t="inlineStr">
        <is>
          <t>SKARA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46286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45621</v>
      </c>
      <c r="E92" s="1" t="n">
        <v>46286</v>
      </c>
      <c r="F92" t="inlineStr">
        <is>
          <t>VÄSTRA GÖTALANDS LÄN</t>
        </is>
      </c>
      <c r="G92" t="inlineStr">
        <is>
          <t>SKARA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45924</v>
      </c>
      <c r="E93" s="1" t="n">
        <v>46286</v>
      </c>
      <c r="F93" t="inlineStr">
        <is>
          <t>VÄSTRA GÖTALANDS LÄN</t>
        </is>
      </c>
      <c r="G93" t="inlineStr">
        <is>
          <t>SKARA</t>
        </is>
      </c>
      <c r="H93" t="inlineStr">
        <is>
          <t>Kyrkan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46286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45924</v>
      </c>
      <c r="E95" s="1" t="n">
        <v>46286</v>
      </c>
      <c r="F95" t="inlineStr">
        <is>
          <t>VÄSTRA GÖTALANDS LÄN</t>
        </is>
      </c>
      <c r="G95" t="inlineStr">
        <is>
          <t>SKARA</t>
        </is>
      </c>
      <c r="H95" t="inlineStr">
        <is>
          <t>Kyrkan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45924</v>
      </c>
      <c r="E96" s="1" t="n">
        <v>46286</v>
      </c>
      <c r="F96" t="inlineStr">
        <is>
          <t>VÄSTRA GÖTALANDS LÄN</t>
        </is>
      </c>
      <c r="G96" t="inlineStr">
        <is>
          <t>SKARA</t>
        </is>
      </c>
      <c r="H96" t="inlineStr">
        <is>
          <t>Kyrkan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56922-2024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46286</v>
      </c>
      <c r="F97" t="inlineStr">
        <is>
          <t>VÄSTRA GÖTALANDS LÄN</t>
        </is>
      </c>
      <c r="G97" t="inlineStr">
        <is>
          <t>SKARA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46286</v>
      </c>
      <c r="F98" t="inlineStr">
        <is>
          <t>VÄSTRA GÖTALANDS LÄN</t>
        </is>
      </c>
      <c r="G98" t="inlineStr">
        <is>
          <t>SKARA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25176-2023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45086</v>
      </c>
      <c r="E99" s="1" t="n">
        <v>46286</v>
      </c>
      <c r="F99" t="inlineStr">
        <is>
          <t>VÄSTRA GÖTALANDS LÄN</t>
        </is>
      </c>
      <c r="G99" t="inlineStr">
        <is>
          <t>SKARA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45932</v>
      </c>
      <c r="E100" s="1" t="n">
        <v>46286</v>
      </c>
      <c r="F100" t="inlineStr">
        <is>
          <t>VÄSTRA GÖTALANDS LÄN</t>
        </is>
      </c>
      <c r="G100" t="inlineStr">
        <is>
          <t>SKARA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46286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46286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44937</v>
      </c>
      <c r="E103" s="1" t="n">
        <v>46286</v>
      </c>
      <c r="F103" t="inlineStr">
        <is>
          <t>VÄSTRA GÖTALANDS LÄN</t>
        </is>
      </c>
      <c r="G103" t="inlineStr">
        <is>
          <t>SKARA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45713</v>
      </c>
      <c r="E104" s="1" t="n">
        <v>46286</v>
      </c>
      <c r="F104" t="inlineStr">
        <is>
          <t>VÄSTRA GÖTALANDS LÄN</t>
        </is>
      </c>
      <c r="G104" t="inlineStr">
        <is>
          <t>SKARA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45945</v>
      </c>
      <c r="E105" s="1" t="n">
        <v>46286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46286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46286</v>
      </c>
      <c r="F107" t="inlineStr">
        <is>
          <t>VÄSTRA GÖTALANDS LÄN</t>
        </is>
      </c>
      <c r="G107" t="inlineStr">
        <is>
          <t>SKARA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46286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Kyrkan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46286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46286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46286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44701</v>
      </c>
      <c r="E112" s="1" t="n">
        <v>46286</v>
      </c>
      <c r="F112" t="inlineStr">
        <is>
          <t>VÄSTRA GÖTALANDS LÄN</t>
        </is>
      </c>
      <c r="G112" t="inlineStr">
        <is>
          <t>SKARA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46286</v>
      </c>
      <c r="F113" t="inlineStr">
        <is>
          <t>VÄSTRA GÖTALANDS LÄN</t>
        </is>
      </c>
      <c r="G113" t="inlineStr">
        <is>
          <t>SKARA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46286</v>
      </c>
      <c r="F114" t="inlineStr">
        <is>
          <t>VÄSTRA GÖTALANDS LÄN</t>
        </is>
      </c>
      <c r="G114" t="inlineStr">
        <is>
          <t>SKARA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46163</v>
      </c>
      <c r="E115" s="1" t="n">
        <v>46286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46286</v>
      </c>
      <c r="F116" t="inlineStr">
        <is>
          <t>VÄSTRA GÖTALANDS LÄN</t>
        </is>
      </c>
      <c r="G116" t="inlineStr">
        <is>
          <t>SKARA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46286</v>
      </c>
      <c r="F117" t="inlineStr">
        <is>
          <t>VÄSTRA GÖTALANDS LÄN</t>
        </is>
      </c>
      <c r="G117" t="inlineStr">
        <is>
          <t>SKARA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46163</v>
      </c>
      <c r="E118" s="1" t="n">
        <v>46286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46286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46286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46286</v>
      </c>
      <c r="F121" t="inlineStr">
        <is>
          <t>VÄSTRA GÖTALANDS LÄN</t>
        </is>
      </c>
      <c r="G121" t="inlineStr">
        <is>
          <t>SKARA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46286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46286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46168</v>
      </c>
      <c r="E124" s="1" t="n">
        <v>46286</v>
      </c>
      <c r="F124" t="inlineStr">
        <is>
          <t>VÄSTRA GÖTALANDS LÄN</t>
        </is>
      </c>
      <c r="G124" t="inlineStr">
        <is>
          <t>SKARA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46008</v>
      </c>
      <c r="E125" s="1" t="n">
        <v>46286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Kyrkan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46168</v>
      </c>
      <c r="E126" s="1" t="n">
        <v>46286</v>
      </c>
      <c r="F126" t="inlineStr">
        <is>
          <t>VÄSTRA GÖTALANDS LÄN</t>
        </is>
      </c>
      <c r="G126" t="inlineStr">
        <is>
          <t>SKARA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46168</v>
      </c>
      <c r="E127" s="1" t="n">
        <v>46286</v>
      </c>
      <c r="F127" t="inlineStr">
        <is>
          <t>VÄSTRA GÖTALANDS LÄN</t>
        </is>
      </c>
      <c r="G127" t="inlineStr">
        <is>
          <t>SKARA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64553-2023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45281</v>
      </c>
      <c r="E128" s="1" t="n">
        <v>46286</v>
      </c>
      <c r="F128" t="inlineStr">
        <is>
          <t>VÄSTRA GÖTALANDS LÄN</t>
        </is>
      </c>
      <c r="G128" t="inlineStr">
        <is>
          <t>SKARA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46286</v>
      </c>
      <c r="F129" t="inlineStr">
        <is>
          <t>VÄSTRA GÖTALANDS LÄN</t>
        </is>
      </c>
      <c r="G129" t="inlineStr">
        <is>
          <t>SKARA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46286</v>
      </c>
      <c r="F130" t="inlineStr">
        <is>
          <t>VÄSTRA GÖTALANDS LÄN</t>
        </is>
      </c>
      <c r="G130" t="inlineStr">
        <is>
          <t>SKARA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42874-2022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44832</v>
      </c>
      <c r="E131" s="1" t="n">
        <v>46286</v>
      </c>
      <c r="F131" t="inlineStr">
        <is>
          <t>VÄSTRA GÖTALANDS LÄN</t>
        </is>
      </c>
      <c r="G131" t="inlineStr">
        <is>
          <t>SKARA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45469</v>
      </c>
      <c r="E132" s="1" t="n">
        <v>46286</v>
      </c>
      <c r="F132" t="inlineStr">
        <is>
          <t>VÄSTRA GÖTALANDS LÄN</t>
        </is>
      </c>
      <c r="G132" t="inlineStr">
        <is>
          <t>SKARA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46286</v>
      </c>
      <c r="F133" t="inlineStr">
        <is>
          <t>VÄSTRA GÖTALANDS LÄN</t>
        </is>
      </c>
      <c r="G133" t="inlineStr">
        <is>
          <t>SKARA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46286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18701-2022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44687</v>
      </c>
      <c r="E135" s="1" t="n">
        <v>46286</v>
      </c>
      <c r="F135" t="inlineStr">
        <is>
          <t>VÄSTRA GÖTALANDS LÄN</t>
        </is>
      </c>
      <c r="G135" t="inlineStr">
        <is>
          <t>SKARA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45043</v>
      </c>
      <c r="E136" s="1" t="n">
        <v>46286</v>
      </c>
      <c r="F136" t="inlineStr">
        <is>
          <t>VÄSTRA GÖTALANDS LÄN</t>
        </is>
      </c>
      <c r="G136" t="inlineStr">
        <is>
          <t>SKARA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46052</v>
      </c>
      <c r="E137" s="1" t="n">
        <v>46286</v>
      </c>
      <c r="F137" t="inlineStr">
        <is>
          <t>VÄSTRA GÖTALANDS LÄN</t>
        </is>
      </c>
      <c r="G137" t="inlineStr">
        <is>
          <t>SKARA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46286</v>
      </c>
      <c r="F138" t="inlineStr">
        <is>
          <t>VÄSTRA GÖTALANDS LÄN</t>
        </is>
      </c>
      <c r="G138" t="inlineStr">
        <is>
          <t>SKARA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46286</v>
      </c>
      <c r="F139" t="inlineStr">
        <is>
          <t>VÄSTRA GÖTALANDS LÄN</t>
        </is>
      </c>
      <c r="G139" t="inlineStr">
        <is>
          <t>SKARA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44957</v>
      </c>
      <c r="E140" s="1" t="n">
        <v>46286</v>
      </c>
      <c r="F140" t="inlineStr">
        <is>
          <t>VÄSTRA GÖTALANDS LÄN</t>
        </is>
      </c>
      <c r="G140" t="inlineStr">
        <is>
          <t>SKARA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46286</v>
      </c>
      <c r="F141" t="inlineStr">
        <is>
          <t>VÄSTRA GÖTALANDS LÄN</t>
        </is>
      </c>
      <c r="G141" t="inlineStr">
        <is>
          <t>SKARA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46286</v>
      </c>
      <c r="F142" t="inlineStr">
        <is>
          <t>VÄSTRA GÖTALANDS LÄN</t>
        </is>
      </c>
      <c r="G142" t="inlineStr">
        <is>
          <t>SKARA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46286</v>
      </c>
      <c r="F143" t="inlineStr">
        <is>
          <t>VÄSTRA GÖTALANDS LÄN</t>
        </is>
      </c>
      <c r="G143" t="inlineStr">
        <is>
          <t>SKARA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46182</v>
      </c>
      <c r="E144" s="1" t="n">
        <v>46286</v>
      </c>
      <c r="F144" t="inlineStr">
        <is>
          <t>VÄSTRA GÖTALANDS LÄN</t>
        </is>
      </c>
      <c r="G144" t="inlineStr">
        <is>
          <t>SKARA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46072</v>
      </c>
      <c r="E145" s="1" t="n">
        <v>46286</v>
      </c>
      <c r="F145" t="inlineStr">
        <is>
          <t>VÄSTRA GÖTALANDS LÄN</t>
        </is>
      </c>
      <c r="G145" t="inlineStr">
        <is>
          <t>SKARA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60654-2021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44496</v>
      </c>
      <c r="E146" s="1" t="n">
        <v>46286</v>
      </c>
      <c r="F146" t="inlineStr">
        <is>
          <t>VÄSTRA GÖTALANDS LÄN</t>
        </is>
      </c>
      <c r="G146" t="inlineStr">
        <is>
          <t>SKARA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46286</v>
      </c>
      <c r="F147" t="inlineStr">
        <is>
          <t>VÄSTRA GÖTALANDS LÄN</t>
        </is>
      </c>
      <c r="G147" t="inlineStr">
        <is>
          <t>SKARA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46286</v>
      </c>
      <c r="F148" t="inlineStr">
        <is>
          <t>VÄSTRA GÖTALANDS LÄN</t>
        </is>
      </c>
      <c r="G148" t="inlineStr">
        <is>
          <t>SKARA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46286</v>
      </c>
      <c r="F149" t="inlineStr">
        <is>
          <t>VÄSTRA GÖTALANDS LÄN</t>
        </is>
      </c>
      <c r="G149" t="inlineStr">
        <is>
          <t>SKARA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12332-2026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46087</v>
      </c>
      <c r="E150" s="1" t="n">
        <v>46286</v>
      </c>
      <c r="F150" t="inlineStr">
        <is>
          <t>VÄSTRA GÖTALANDS LÄN</t>
        </is>
      </c>
      <c r="G150" t="inlineStr">
        <is>
          <t>SKARA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27478-2026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46189</v>
      </c>
      <c r="E151" s="1" t="n">
        <v>46286</v>
      </c>
      <c r="F151" t="inlineStr">
        <is>
          <t>VÄSTRA GÖTALANDS LÄN</t>
        </is>
      </c>
      <c r="G151" t="inlineStr">
        <is>
          <t>SKARA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46286</v>
      </c>
      <c r="F152" t="inlineStr">
        <is>
          <t>VÄSTRA GÖTALANDS LÄN</t>
        </is>
      </c>
      <c r="G152" t="inlineStr">
        <is>
          <t>SKARA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46286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46286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46286</v>
      </c>
      <c r="F155" t="inlineStr">
        <is>
          <t>VÄSTRA GÖTALANDS LÄN</t>
        </is>
      </c>
      <c r="G155" t="inlineStr">
        <is>
          <t>SKARA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46286</v>
      </c>
      <c r="F156" t="inlineStr">
        <is>
          <t>VÄSTRA GÖTALANDS LÄN</t>
        </is>
      </c>
      <c r="G156" t="inlineStr">
        <is>
          <t>SKARA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46286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46286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46286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46108</v>
      </c>
      <c r="E160" s="1" t="n">
        <v>46286</v>
      </c>
      <c r="F160" t="inlineStr">
        <is>
          <t>VÄSTRA GÖTALANDS LÄN</t>
        </is>
      </c>
      <c r="G160" t="inlineStr">
        <is>
          <t>SKARA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45140</v>
      </c>
      <c r="E161" s="1" t="n">
        <v>46286</v>
      </c>
      <c r="F161" t="inlineStr">
        <is>
          <t>VÄSTRA GÖTALANDS LÄN</t>
        </is>
      </c>
      <c r="G161" t="inlineStr">
        <is>
          <t>SKARA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45314</v>
      </c>
      <c r="E162" s="1" t="n">
        <v>46286</v>
      </c>
      <c r="F162" t="inlineStr">
        <is>
          <t>VÄSTRA GÖTALANDS LÄN</t>
        </is>
      </c>
      <c r="G162" t="inlineStr">
        <is>
          <t>SKARA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46286</v>
      </c>
      <c r="F163" t="inlineStr">
        <is>
          <t>VÄSTRA GÖTALANDS LÄN</t>
        </is>
      </c>
      <c r="G163" t="inlineStr">
        <is>
          <t>SKARA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46286</v>
      </c>
      <c r="F164" t="inlineStr">
        <is>
          <t>VÄSTRA GÖTALANDS LÄN</t>
        </is>
      </c>
      <c r="G164" t="inlineStr">
        <is>
          <t>SKARA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44995</v>
      </c>
      <c r="E165" s="1" t="n">
        <v>46286</v>
      </c>
      <c r="F165" t="inlineStr">
        <is>
          <t>VÄSTRA GÖTALANDS LÄN</t>
        </is>
      </c>
      <c r="G165" t="inlineStr">
        <is>
          <t>SKARA</t>
        </is>
      </c>
      <c r="I165" t="n">
        <v>13.5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16198-2026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46286</v>
      </c>
      <c r="F166" t="inlineStr">
        <is>
          <t>VÄSTRA GÖTALANDS LÄN</t>
        </is>
      </c>
      <c r="G166" t="inlineStr">
        <is>
          <t>SKARA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46286</v>
      </c>
      <c r="F167" t="inlineStr">
        <is>
          <t>VÄSTRA GÖTALANDS LÄN</t>
        </is>
      </c>
      <c r="G167" t="inlineStr">
        <is>
          <t>SKARA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46113</v>
      </c>
      <c r="E168" s="1" t="n">
        <v>46286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46119</v>
      </c>
      <c r="E169" s="1" t="n">
        <v>46286</v>
      </c>
      <c r="F169" t="inlineStr">
        <is>
          <t>VÄSTRA GÖTALANDS LÄN</t>
        </is>
      </c>
      <c r="G169" t="inlineStr">
        <is>
          <t>SKARA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46286</v>
      </c>
      <c r="F170" t="inlineStr">
        <is>
          <t>VÄSTRA GÖTALANDS LÄN</t>
        </is>
      </c>
      <c r="G170" t="inlineStr">
        <is>
          <t>SKARA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46286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46286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44743</v>
      </c>
      <c r="E173" s="1" t="n">
        <v>46286</v>
      </c>
      <c r="F173" t="inlineStr">
        <is>
          <t>VÄSTRA GÖTALANDS LÄN</t>
        </is>
      </c>
      <c r="G173" t="inlineStr">
        <is>
          <t>SKARA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46286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Kyrkan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46286</v>
      </c>
      <c r="F175" t="inlineStr">
        <is>
          <t>VÄSTRA GÖTALANDS LÄN</t>
        </is>
      </c>
      <c r="G175" t="inlineStr">
        <is>
          <t>SKARA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46286</v>
      </c>
      <c r="F176" t="inlineStr">
        <is>
          <t>VÄSTRA GÖTALANDS LÄN</t>
        </is>
      </c>
      <c r="G176" t="inlineStr">
        <is>
          <t>SKARA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46286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46286</v>
      </c>
      <c r="F178" t="inlineStr">
        <is>
          <t>VÄSTRA GÖTALANDS LÄN</t>
        </is>
      </c>
      <c r="G178" t="inlineStr">
        <is>
          <t>SKARA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46286</v>
      </c>
      <c r="F179" t="inlineStr">
        <is>
          <t>VÄSTRA GÖTALANDS LÄN</t>
        </is>
      </c>
      <c r="G179" t="inlineStr">
        <is>
          <t>SKARA</t>
        </is>
      </c>
      <c r="I179" t="n">
        <v>21.6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44894</v>
      </c>
      <c r="E180" s="1" t="n">
        <v>46286</v>
      </c>
      <c r="F180" t="inlineStr">
        <is>
          <t>VÄSTRA GÖTALANDS LÄN</t>
        </is>
      </c>
      <c r="G180" t="inlineStr">
        <is>
          <t>SKARA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46247</v>
      </c>
      <c r="E181" s="1" t="n">
        <v>46286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46286</v>
      </c>
      <c r="F182" t="inlineStr">
        <is>
          <t>VÄSTRA GÖTALANDS LÄN</t>
        </is>
      </c>
      <c r="G182" t="inlineStr">
        <is>
          <t>SKARA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65124-2023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45288</v>
      </c>
      <c r="E183" s="1" t="n">
        <v>46286</v>
      </c>
      <c r="F183" t="inlineStr">
        <is>
          <t>VÄSTRA GÖTALANDS LÄN</t>
        </is>
      </c>
      <c r="G183" t="inlineStr">
        <is>
          <t>SKARA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46286</v>
      </c>
      <c r="F184" t="inlineStr">
        <is>
          <t>VÄSTRA GÖTALANDS LÄN</t>
        </is>
      </c>
      <c r="G184" t="inlineStr">
        <is>
          <t>SKARA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22870-2024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45448</v>
      </c>
      <c r="E185" s="1" t="n">
        <v>46286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45175</v>
      </c>
      <c r="E186" s="1" t="n">
        <v>46286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Kommuner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30085-2023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46286</v>
      </c>
      <c r="F187" t="inlineStr">
        <is>
          <t>VÄSTRA GÖTALANDS LÄN</t>
        </is>
      </c>
      <c r="G187" t="inlineStr">
        <is>
          <t>SKARA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46286</v>
      </c>
      <c r="F188" t="inlineStr">
        <is>
          <t>VÄSTRA GÖTALANDS LÄN</t>
        </is>
      </c>
      <c r="G188" t="inlineStr">
        <is>
          <t>SKARA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46203</v>
      </c>
      <c r="E189" s="1" t="n">
        <v>46286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Kyrkan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32668-2024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45514</v>
      </c>
      <c r="E190" s="1" t="n">
        <v>46286</v>
      </c>
      <c r="F190" t="inlineStr">
        <is>
          <t>VÄSTRA GÖTALANDS LÄN</t>
        </is>
      </c>
      <c r="G190" t="inlineStr">
        <is>
          <t>SKARA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45156</v>
      </c>
      <c r="E191" s="1" t="n">
        <v>46286</v>
      </c>
      <c r="F191" t="inlineStr">
        <is>
          <t>VÄSTRA GÖTALANDS LÄN</t>
        </is>
      </c>
      <c r="G191" t="inlineStr">
        <is>
          <t>SKARA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44995</v>
      </c>
      <c r="E192" s="1" t="n">
        <v>46286</v>
      </c>
      <c r="F192" t="inlineStr">
        <is>
          <t>VÄSTRA GÖTALANDS LÄN</t>
        </is>
      </c>
      <c r="G192" t="inlineStr">
        <is>
          <t>SKARA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44642</v>
      </c>
      <c r="E193" s="1" t="n">
        <v>46286</v>
      </c>
      <c r="F193" t="inlineStr">
        <is>
          <t>VÄSTRA GÖTALANDS LÄN</t>
        </is>
      </c>
      <c r="G193" t="inlineStr">
        <is>
          <t>SKARA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46286</v>
      </c>
      <c r="F194" t="inlineStr">
        <is>
          <t>VÄSTRA GÖTALANDS LÄN</t>
        </is>
      </c>
      <c r="G194" t="inlineStr">
        <is>
          <t>SKARA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30019-2023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45109</v>
      </c>
      <c r="E195" s="1" t="n">
        <v>46286</v>
      </c>
      <c r="F195" t="inlineStr">
        <is>
          <t>VÄSTRA GÖTALANDS LÄN</t>
        </is>
      </c>
      <c r="G195" t="inlineStr">
        <is>
          <t>SKARA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46286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46286</v>
      </c>
      <c r="F197" t="inlineStr">
        <is>
          <t>VÄSTRA GÖTALANDS LÄN</t>
        </is>
      </c>
      <c r="G197" t="inlineStr">
        <is>
          <t>SKARA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46286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46286</v>
      </c>
      <c r="F199" t="inlineStr">
        <is>
          <t>VÄSTRA GÖTALANDS LÄN</t>
        </is>
      </c>
      <c r="G199" t="inlineStr">
        <is>
          <t>SKARA</t>
        </is>
      </c>
      <c r="I199" t="n">
        <v>9.199999999999999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46286</v>
      </c>
      <c r="F200" t="inlineStr">
        <is>
          <t>VÄSTRA GÖTALANDS LÄN</t>
        </is>
      </c>
      <c r="G200" t="inlineStr">
        <is>
          <t>SKARA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46280</v>
      </c>
      <c r="E201" s="1" t="n">
        <v>46286</v>
      </c>
      <c r="F201" t="inlineStr">
        <is>
          <t>VÄSTRA GÖTALANDS LÄN</t>
        </is>
      </c>
      <c r="G201" t="inlineStr">
        <is>
          <t>SKARA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38149-2026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46281</v>
      </c>
      <c r="E202" s="1" t="n">
        <v>46286</v>
      </c>
      <c r="F202" t="inlineStr">
        <is>
          <t>VÄSTRA GÖTALANDS LÄN</t>
        </is>
      </c>
      <c r="G202" t="inlineStr">
        <is>
          <t>SKARA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25219-2025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45800</v>
      </c>
      <c r="E203" s="1" t="n">
        <v>46286</v>
      </c>
      <c r="F203" t="inlineStr">
        <is>
          <t>VÄSTRA GÖTALANDS LÄN</t>
        </is>
      </c>
      <c r="G203" t="inlineStr">
        <is>
          <t>SKARA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38146-2026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46281</v>
      </c>
      <c r="E204" s="1" t="n">
        <v>46286</v>
      </c>
      <c r="F204" t="inlineStr">
        <is>
          <t>VÄSTRA GÖTALANDS LÄN</t>
        </is>
      </c>
      <c r="G204" t="inlineStr">
        <is>
          <t>SKARA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44946</v>
      </c>
      <c r="E205" s="1" t="n">
        <v>46286</v>
      </c>
      <c r="F205" t="inlineStr">
        <is>
          <t>VÄSTRA GÖTALANDS LÄN</t>
        </is>
      </c>
      <c r="G205" t="inlineStr">
        <is>
          <t>SKARA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46286</v>
      </c>
      <c r="F206" t="inlineStr">
        <is>
          <t>VÄSTRA GÖTALANDS LÄN</t>
        </is>
      </c>
      <c r="G206" t="inlineStr">
        <is>
          <t>SKARA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46286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46286</v>
      </c>
      <c r="F208" t="inlineStr">
        <is>
          <t>VÄSTRA GÖTALANDS LÄN</t>
        </is>
      </c>
      <c r="G208" t="inlineStr">
        <is>
          <t>SKARA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46286</v>
      </c>
      <c r="F209" t="inlineStr">
        <is>
          <t>VÄSTRA GÖTALANDS LÄN</t>
        </is>
      </c>
      <c r="G209" t="inlineStr">
        <is>
          <t>SKARA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46286</v>
      </c>
      <c r="F210" t="inlineStr">
        <is>
          <t>VÄSTRA GÖTALANDS LÄN</t>
        </is>
      </c>
      <c r="G210" t="inlineStr">
        <is>
          <t>SKARA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46286</v>
      </c>
      <c r="F211" t="inlineStr">
        <is>
          <t>VÄSTRA GÖTALANDS LÄN</t>
        </is>
      </c>
      <c r="G211" t="inlineStr">
        <is>
          <t>SKARA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60233-2023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45258</v>
      </c>
      <c r="E212" s="1" t="n">
        <v>46286</v>
      </c>
      <c r="F212" t="inlineStr">
        <is>
          <t>VÄSTRA GÖTALANDS LÄN</t>
        </is>
      </c>
      <c r="G212" t="inlineStr">
        <is>
          <t>SKARA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45776</v>
      </c>
      <c r="E213" s="1" t="n">
        <v>46286</v>
      </c>
      <c r="F213" t="inlineStr">
        <is>
          <t>VÄSTRA GÖTALANDS LÄN</t>
        </is>
      </c>
      <c r="G213" t="inlineStr">
        <is>
          <t>SKARA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44687</v>
      </c>
      <c r="E214" s="1" t="n">
        <v>46286</v>
      </c>
      <c r="F214" t="inlineStr">
        <is>
          <t>VÄSTRA GÖTALANDS LÄN</t>
        </is>
      </c>
      <c r="G214" t="inlineStr">
        <is>
          <t>SKARA</t>
        </is>
      </c>
      <c r="H214" t="inlineStr">
        <is>
          <t>Kommuner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1236-2022</t>
        </is>
      </c>
      <c r="B215" t="inlineStr">
        <is>
          <t>samrådsanmälan</t>
        </is>
      </c>
      <c r="C215" t="n">
        <v/>
      </c>
      <c r="D215" s="1" t="n">
        <v>44623</v>
      </c>
      <c r="E215" s="1" t="n">
        <v>46286</v>
      </c>
      <c r="F215" t="inlineStr">
        <is>
          <t>VÄSTRA GÖTALANDS LÄN</t>
        </is>
      </c>
      <c r="G215" t="inlineStr">
        <is>
          <t>SKARA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839-2024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45372</v>
      </c>
      <c r="E216" s="1" t="n">
        <v>46286</v>
      </c>
      <c r="F216" t="inlineStr">
        <is>
          <t>VÄSTRA GÖTALANDS LÄN</t>
        </is>
      </c>
      <c r="G216" t="inlineStr">
        <is>
          <t>SKARA</t>
        </is>
      </c>
      <c r="I216" t="n">
        <v>19.6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2026-09-21T02:00:07Z</dcterms:created>
  <dcterms:modified xmlns:dcterms="http://purl.org/dc/terms/" xmlns:xsi="http://www.w3.org/2001/XMLSchema-instance" xsi:type="dcterms:W3CDTF">2026-09-21T02:00:07Z</dcterms:modified>
</cp:coreProperties>
</file>