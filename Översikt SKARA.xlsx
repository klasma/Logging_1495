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46324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9277-2023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44980</v>
      </c>
      <c r="E5" s="1" t="n">
        <v>46324</v>
      </c>
      <c r="F5" t="inlineStr">
        <is>
          <t>VÄSTRA GÖTALANDS LÄN</t>
        </is>
      </c>
      <c r="G5" t="inlineStr">
        <is>
          <t>SKARA</t>
        </is>
      </c>
      <c r="I5" t="n">
        <v>1.3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Talltita
Svart trolldruva
Västlig hakmossa
Grönvit nattviol</t>
        </is>
      </c>
      <c r="W5">
        <f>HYPERLINK("https://klasma.github.io/Logging_1495/artfynd/A 9277-2023 artfynd.xlsx", "A 9277-2023")</f>
        <v/>
      </c>
      <c r="X5">
        <f>HYPERLINK("https://klasma.github.io/Logging_1495/kartor/A 9277-2023 karta.png", "A 9277-2023")</f>
        <v/>
      </c>
      <c r="Y5">
        <f>HYPERLINK("https://klasma.github.io/Logging_1495/kartor_geotiff/A 9277-2023 georefererad karta.tif", "A 9277-2023")</f>
        <v/>
      </c>
      <c r="AA5">
        <f>HYPERLINK("https://klasma.github.io/Logging_1495/klagomål/A 9277-2023 FSC-klagomål.docx", "A 9277-2023")</f>
        <v/>
      </c>
      <c r="AB5">
        <f>HYPERLINK("https://klasma.github.io/Logging_1495/klagomålsmail/A 9277-2023 FSC-klagomål mail.docx", "A 9277-2023")</f>
        <v/>
      </c>
      <c r="AC5">
        <f>HYPERLINK("https://klasma.github.io/Logging_1495/tillsyn/A 9277-2023 tillsynsbegäran.docx", "A 9277-2023")</f>
        <v/>
      </c>
      <c r="AD5">
        <f>HYPERLINK("https://klasma.github.io/Logging_1495/tillsynsmail/A 9277-2023 tillsynsbegäran mail.docx", "A 9277-2023")</f>
        <v/>
      </c>
      <c r="AE5">
        <f>HYPERLINK("https://klasma.github.io/Logging_1495/fåglar/A 9277-2023 prioriterade fågelarter.docx", "A 9277-2023")</f>
        <v/>
      </c>
    </row>
    <row r="6" ht="15" customHeight="1">
      <c r="A6" t="inlineStr">
        <is>
          <t>A 33610-2025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45841</v>
      </c>
      <c r="E6" s="1" t="n">
        <v>46324</v>
      </c>
      <c r="F6" t="inlineStr">
        <is>
          <t>VÄSTRA GÖTALANDS LÄN</t>
        </is>
      </c>
      <c r="G6" t="inlineStr">
        <is>
          <t>SKARA</t>
        </is>
      </c>
      <c r="I6" t="n">
        <v>11.2</v>
      </c>
      <c r="J6" t="n">
        <v>1</v>
      </c>
      <c r="K6" t="n">
        <v>1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5</v>
      </c>
      <c r="U6" t="n">
        <v>0</v>
      </c>
      <c r="V6" s="2" t="inlineStr">
        <is>
          <t>Ask
Skogsalm
Lundbräsma
Blåsippa</t>
        </is>
      </c>
      <c r="W6">
        <f>HYPERLINK("https://klasma.github.io/Logging_1495/artfynd/A 33610-2025 artfynd.xlsx", "A 33610-2025")</f>
        <v/>
      </c>
      <c r="X6">
        <f>HYPERLINK("https://klasma.github.io/Logging_1495/kartor/A 33610-2025 karta.png", "A 33610-2025")</f>
        <v/>
      </c>
      <c r="Y6">
        <f>HYPERLINK("https://klasma.github.io/Logging_1495/kartor_geotiff/A 33610-2025 georefererad karta.tif", "A 33610-2025")</f>
        <v/>
      </c>
      <c r="AA6">
        <f>HYPERLINK("https://klasma.github.io/Logging_1495/klagomål/A 33610-2025 FSC-klagomål.docx", "A 33610-2025")</f>
        <v/>
      </c>
      <c r="AB6">
        <f>HYPERLINK("https://klasma.github.io/Logging_1495/klagomålsmail/A 33610-2025 FSC-klagomål mail.docx", "A 33610-2025")</f>
        <v/>
      </c>
      <c r="AC6">
        <f>HYPERLINK("https://klasma.github.io/Logging_1495/tillsyn/A 33610-2025 tillsynsbegäran.docx", "A 33610-2025")</f>
        <v/>
      </c>
      <c r="AD6">
        <f>HYPERLINK("https://klasma.github.io/Logging_1495/tillsynsmail/A 33610-2025 tillsynsbegäran mail.docx", "A 33610-2025")</f>
        <v/>
      </c>
    </row>
    <row r="7" ht="15" customHeight="1">
      <c r="A7" t="inlineStr">
        <is>
          <t>A 8807-2022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46324</v>
      </c>
      <c r="F7" t="inlineStr">
        <is>
          <t>VÄSTRA GÖTALANDS LÄN</t>
        </is>
      </c>
      <c r="G7" t="inlineStr">
        <is>
          <t>SKARA</t>
        </is>
      </c>
      <c r="H7" t="inlineStr">
        <is>
          <t>Kyrkan</t>
        </is>
      </c>
      <c r="I7" t="n">
        <v>8.9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Brandticka
Grovticka
Revlummer</t>
        </is>
      </c>
      <c r="W7">
        <f>HYPERLINK("https://klasma.github.io/Logging_1495/artfynd/A 8807-2022 artfynd.xlsx", "A 8807-2022")</f>
        <v/>
      </c>
      <c r="X7">
        <f>HYPERLINK("https://klasma.github.io/Logging_1495/kartor/A 8807-2022 karta.png", "A 8807-2022")</f>
        <v/>
      </c>
      <c r="Y7">
        <f>HYPERLINK("https://klasma.github.io/Logging_1495/kartor_geotiff/A 8807-2022 georefererad karta.tif", "A 8807-2022")</f>
        <v/>
      </c>
      <c r="AA7">
        <f>HYPERLINK("https://klasma.github.io/Logging_1495/klagomål/A 8807-2022 FSC-klagomål.docx", "A 8807-2022")</f>
        <v/>
      </c>
      <c r="AB7">
        <f>HYPERLINK("https://klasma.github.io/Logging_1495/klagomålsmail/A 8807-2022 FSC-klagomål mail.docx", "A 8807-2022")</f>
        <v/>
      </c>
      <c r="AC7">
        <f>HYPERLINK("https://klasma.github.io/Logging_1495/tillsyn/A 8807-2022 tillsynsbegäran.docx", "A 8807-2022")</f>
        <v/>
      </c>
      <c r="AD7">
        <f>HYPERLINK("https://klasma.github.io/Logging_1495/tillsynsmail/A 8807-2022 tillsynsbegäran mail.docx", "A 8807-2022")</f>
        <v/>
      </c>
    </row>
    <row r="8" ht="15" customHeight="1">
      <c r="A8" t="inlineStr">
        <is>
          <t>A 22585-2022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44714</v>
      </c>
      <c r="E8" s="1" t="n">
        <v>46324</v>
      </c>
      <c r="F8" t="inlineStr">
        <is>
          <t>VÄSTRA GÖTALANDS LÄN</t>
        </is>
      </c>
      <c r="G8" t="inlineStr">
        <is>
          <t>SKARA</t>
        </is>
      </c>
      <c r="I8" t="n">
        <v>1.6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Scharlakansvaxing
Toppvaxing</t>
        </is>
      </c>
      <c r="W8">
        <f>HYPERLINK("https://klasma.github.io/Logging_1495/artfynd/A 22585-2022 artfynd.xlsx", "A 22585-2022")</f>
        <v/>
      </c>
      <c r="X8">
        <f>HYPERLINK("https://klasma.github.io/Logging_1495/kartor/A 22585-2022 karta.png", "A 22585-2022")</f>
        <v/>
      </c>
      <c r="Y8">
        <f>HYPERLINK("https://klasma.github.io/Logging_1495/kartor_geotiff/A 22585-2022 georefererad karta.tif", "A 22585-2022")</f>
        <v/>
      </c>
      <c r="AA8">
        <f>HYPERLINK("https://klasma.github.io/Logging_1495/klagomål/A 22585-2022 FSC-klagomål.docx", "A 22585-2022")</f>
        <v/>
      </c>
      <c r="AB8">
        <f>HYPERLINK("https://klasma.github.io/Logging_1495/klagomålsmail/A 22585-2022 FSC-klagomål mail.docx", "A 22585-2022")</f>
        <v/>
      </c>
      <c r="AC8">
        <f>HYPERLINK("https://klasma.github.io/Logging_1495/tillsyn/A 22585-2022 tillsynsbegäran.docx", "A 22585-2022")</f>
        <v/>
      </c>
      <c r="AD8">
        <f>HYPERLINK("https://klasma.github.io/Logging_1495/tillsynsmail/A 22585-2022 tillsynsbegäran mail.docx", "A 22585-2022")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46324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A 18736-2023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45043</v>
      </c>
      <c r="E10" s="1" t="n">
        <v>46324</v>
      </c>
      <c r="F10" t="inlineStr">
        <is>
          <t>VÄSTRA GÖTALANDS LÄN</t>
        </is>
      </c>
      <c r="G10" t="inlineStr">
        <is>
          <t>SKARA</t>
        </is>
      </c>
      <c r="I10" t="n">
        <v>5.7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Slåttergubbe
Revlummer</t>
        </is>
      </c>
      <c r="W10">
        <f>HYPERLINK("https://klasma.github.io/Logging_1495/artfynd/A 18736-2023 artfynd.xlsx", "A 18736-2023")</f>
        <v/>
      </c>
      <c r="X10">
        <f>HYPERLINK("https://klasma.github.io/Logging_1495/kartor/A 18736-2023 karta.png", "A 18736-2023")</f>
        <v/>
      </c>
      <c r="Y10">
        <f>HYPERLINK("https://klasma.github.io/Logging_1495/kartor_geotiff/A 18736-2023 georefererad karta.tif", "A 18736-2023")</f>
        <v/>
      </c>
      <c r="AA10">
        <f>HYPERLINK("https://klasma.github.io/Logging_1495/klagomål/A 18736-2023 FSC-klagomål.docx", "A 18736-2023")</f>
        <v/>
      </c>
      <c r="AB10">
        <f>HYPERLINK("https://klasma.github.io/Logging_1495/klagomålsmail/A 18736-2023 FSC-klagomål mail.docx", "A 18736-2023")</f>
        <v/>
      </c>
      <c r="AC10">
        <f>HYPERLINK("https://klasma.github.io/Logging_1495/tillsyn/A 18736-2023 tillsynsbegäran.docx", "A 18736-2023")</f>
        <v/>
      </c>
      <c r="AD10">
        <f>HYPERLINK("https://klasma.github.io/Logging_1495/tillsynsmail/A 18736-2023 tillsynsbegäran mail.docx", "A 18736-2023")</f>
        <v/>
      </c>
    </row>
    <row r="11" ht="15" customHeight="1">
      <c r="A11" t="inlineStr">
        <is>
          <t>S 2565-2025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45915</v>
      </c>
      <c r="E11" s="1" t="n">
        <v>46324</v>
      </c>
      <c r="F11" t="inlineStr">
        <is>
          <t>VÄSTRA GÖTALANDS LÄN</t>
        </is>
      </c>
      <c r="G11" t="inlineStr">
        <is>
          <t>SKARA</t>
        </is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Ask
Hässleklocka</t>
        </is>
      </c>
      <c r="W11">
        <f>HYPERLINK("https://klasma.github.io/Logging_1495/artfynd/S 2565-2025 artfynd.xlsx", "S 2565-2025")</f>
        <v/>
      </c>
      <c r="X11">
        <f>HYPERLINK("https://klasma.github.io/Logging_1495/kartor/S 2565-2025 karta.png", "S 2565-2025")</f>
        <v/>
      </c>
      <c r="Y11">
        <f>HYPERLINK("https://klasma.github.io/Logging_1495/kartor_geotiff/S 2565-2025 georefererad karta.tif", "S 2565-2025")</f>
        <v/>
      </c>
      <c r="AA11">
        <f>HYPERLINK("https://klasma.github.io/Logging_1495/klagomål/S 2565-2025 FSC-klagomål.docx", "S 2565-2025")</f>
        <v/>
      </c>
      <c r="AB11">
        <f>HYPERLINK("https://klasma.github.io/Logging_1495/klagomålsmail/S 2565-2025 FSC-klagomål mail.docx", "S 2565-2025")</f>
        <v/>
      </c>
      <c r="AC11">
        <f>HYPERLINK("https://klasma.github.io/Logging_1495/tillsyn/S 2565-2025 tillsynsbegäran.docx", "S 2565-2025")</f>
        <v/>
      </c>
      <c r="AD11">
        <f>HYPERLINK("https://klasma.github.io/Logging_1495/tillsynsmail/S 2565-2025 tillsynsbegäran mail.docx", "S 2565-2025")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46324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46324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46324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46324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46324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HYPERLINK("https://klasma.github.io/Logging_1495/artfynd/A 52041-2023 artfynd.xlsx", "A 52041-2023")</f>
        <v/>
      </c>
      <c r="X16">
        <f>HYPERLINK("https://klasma.github.io/Logging_1495/kartor/A 52041-2023 karta.png", "A 52041-2023")</f>
        <v/>
      </c>
      <c r="Y16">
        <f>HYPERLINK("https://klasma.github.io/Logging_1495/kartor_geotiff/A 52041-2023 georefererad karta.tif", "A 52041-2023")</f>
        <v/>
      </c>
      <c r="AA16">
        <f>HYPERLINK("https://klasma.github.io/Logging_1495/klagomål/A 52041-2023 FSC-klagomål.docx", "A 52041-2023")</f>
        <v/>
      </c>
      <c r="AB16">
        <f>HYPERLINK("https://klasma.github.io/Logging_1495/klagomålsmail/A 52041-2023 FSC-klagomål mail.docx", "A 52041-2023")</f>
        <v/>
      </c>
      <c r="AC16">
        <f>HYPERLINK("https://klasma.github.io/Logging_1495/tillsyn/A 52041-2023 tillsynsbegäran.docx", "A 52041-2023")</f>
        <v/>
      </c>
      <c r="AD16">
        <f>HYPERLINK("https://klasma.github.io/Logging_1495/tillsynsmail/A 52041-2023 tillsynsbegäran mail.docx", "A 52041-2023")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46324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46324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46324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46324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46324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46324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46324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46324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46324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46324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46324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46324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44589</v>
      </c>
      <c r="E30" s="1" t="n">
        <v>46324</v>
      </c>
      <c r="F30" t="inlineStr">
        <is>
          <t>VÄSTRA GÖTALANDS LÄN</t>
        </is>
      </c>
      <c r="G30" t="inlineStr">
        <is>
          <t>SKARA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38210-2022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46324</v>
      </c>
      <c r="F31" t="inlineStr">
        <is>
          <t>VÄSTRA GÖTALANDS LÄN</t>
        </is>
      </c>
      <c r="G31" t="inlineStr">
        <is>
          <t>SKARA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46324</v>
      </c>
      <c r="F32" t="inlineStr">
        <is>
          <t>VÄSTRA GÖTALANDS LÄN</t>
        </is>
      </c>
      <c r="G32" t="inlineStr">
        <is>
          <t>SKARA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44659</v>
      </c>
      <c r="E33" s="1" t="n">
        <v>46324</v>
      </c>
      <c r="F33" t="inlineStr">
        <is>
          <t>VÄSTRA GÖTALANDS LÄN</t>
        </is>
      </c>
      <c r="G33" t="inlineStr">
        <is>
          <t>SKARA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46324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46324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46190-2023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46324</v>
      </c>
      <c r="F36" t="inlineStr">
        <is>
          <t>VÄSTRA GÖTALANDS LÄN</t>
        </is>
      </c>
      <c r="G36" t="inlineStr">
        <is>
          <t>SKARA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18017-2024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45420</v>
      </c>
      <c r="E37" s="1" t="n">
        <v>46324</v>
      </c>
      <c r="F37" t="inlineStr">
        <is>
          <t>VÄSTRA GÖTALANDS LÄN</t>
        </is>
      </c>
      <c r="G37" t="inlineStr">
        <is>
          <t>SKARA</t>
        </is>
      </c>
      <c r="H37" t="inlineStr">
        <is>
          <t>Sveaskog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72213-2021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44544</v>
      </c>
      <c r="E38" s="1" t="n">
        <v>46324</v>
      </c>
      <c r="F38" t="inlineStr">
        <is>
          <t>VÄSTRA GÖTALANDS LÄN</t>
        </is>
      </c>
      <c r="G38" t="inlineStr">
        <is>
          <t>SKARA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46324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46324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44728</v>
      </c>
      <c r="E41" s="1" t="n">
        <v>46324</v>
      </c>
      <c r="F41" t="inlineStr">
        <is>
          <t>VÄSTRA GÖTALANDS LÄN</t>
        </is>
      </c>
      <c r="G41" t="inlineStr">
        <is>
          <t>SKARA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20870-2022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44701</v>
      </c>
      <c r="E42" s="1" t="n">
        <v>46324</v>
      </c>
      <c r="F42" t="inlineStr">
        <is>
          <t>VÄSTRA GÖTALANDS LÄN</t>
        </is>
      </c>
      <c r="G42" t="inlineStr">
        <is>
          <t>SKARA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44698</v>
      </c>
      <c r="E43" s="1" t="n">
        <v>46324</v>
      </c>
      <c r="F43" t="inlineStr">
        <is>
          <t>VÄSTRA GÖTALANDS LÄN</t>
        </is>
      </c>
      <c r="G43" t="inlineStr">
        <is>
          <t>SKARA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45469</v>
      </c>
      <c r="E44" s="1" t="n">
        <v>46324</v>
      </c>
      <c r="F44" t="inlineStr">
        <is>
          <t>VÄSTRA GÖTALANDS LÄN</t>
        </is>
      </c>
      <c r="G44" t="inlineStr">
        <is>
          <t>SKARA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45435</v>
      </c>
      <c r="E45" s="1" t="n">
        <v>46324</v>
      </c>
      <c r="F45" t="inlineStr">
        <is>
          <t>VÄSTRA GÖTALANDS LÄN</t>
        </is>
      </c>
      <c r="G45" t="inlineStr">
        <is>
          <t>SKARA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37032-2025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45874</v>
      </c>
      <c r="E46" s="1" t="n">
        <v>46324</v>
      </c>
      <c r="F46" t="inlineStr">
        <is>
          <t>VÄSTRA GÖTALANDS LÄN</t>
        </is>
      </c>
      <c r="G46" t="inlineStr">
        <is>
          <t>SKARA</t>
        </is>
      </c>
      <c r="I46" t="n">
        <v>5.9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25219-2025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45800</v>
      </c>
      <c r="E47" s="1" t="n">
        <v>46324</v>
      </c>
      <c r="F47" t="inlineStr">
        <is>
          <t>VÄSTRA GÖTALANDS LÄN</t>
        </is>
      </c>
      <c r="G47" t="inlineStr">
        <is>
          <t>SKARA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46324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46324</v>
      </c>
      <c r="F49" t="inlineStr">
        <is>
          <t>VÄSTRA GÖTALANDS LÄN</t>
        </is>
      </c>
      <c r="G49" t="inlineStr">
        <is>
          <t>SKARA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46324</v>
      </c>
      <c r="F50" t="inlineStr">
        <is>
          <t>VÄSTRA GÖTALANDS LÄN</t>
        </is>
      </c>
      <c r="G50" t="inlineStr">
        <is>
          <t>SKARA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46324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46324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44946</v>
      </c>
      <c r="E53" s="1" t="n">
        <v>46324</v>
      </c>
      <c r="F53" t="inlineStr">
        <is>
          <t>VÄSTRA GÖTALANDS LÄN</t>
        </is>
      </c>
      <c r="G53" t="inlineStr">
        <is>
          <t>SKARA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46324</v>
      </c>
      <c r="F54" t="inlineStr">
        <is>
          <t>VÄSTRA GÖTALANDS LÄN</t>
        </is>
      </c>
      <c r="G54" t="inlineStr">
        <is>
          <t>SKARA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46324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46324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46324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39492-2025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46324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46324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46324</v>
      </c>
      <c r="F60" t="inlineStr">
        <is>
          <t>VÄSTRA GÖTALANDS LÄN</t>
        </is>
      </c>
      <c r="G60" t="inlineStr">
        <is>
          <t>SKARA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46324</v>
      </c>
      <c r="F61" t="inlineStr">
        <is>
          <t>VÄSTRA GÖTALANDS LÄN</t>
        </is>
      </c>
      <c r="G61" t="inlineStr">
        <is>
          <t>SKARA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36041-2023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46324</v>
      </c>
      <c r="F62" t="inlineStr">
        <is>
          <t>VÄSTRA GÖTALANDS LÄN</t>
        </is>
      </c>
      <c r="G62" t="inlineStr">
        <is>
          <t>SKARA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36045-2023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45149</v>
      </c>
      <c r="E63" s="1" t="n">
        <v>46324</v>
      </c>
      <c r="F63" t="inlineStr">
        <is>
          <t>VÄSTRA GÖTALANDS LÄN</t>
        </is>
      </c>
      <c r="G63" t="inlineStr">
        <is>
          <t>SKARA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46324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46324</v>
      </c>
      <c r="F65" t="inlineStr">
        <is>
          <t>VÄSTRA GÖTALANDS LÄN</t>
        </is>
      </c>
      <c r="G65" t="inlineStr">
        <is>
          <t>SKARA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46324</v>
      </c>
      <c r="F66" t="inlineStr">
        <is>
          <t>VÄSTRA GÖTALANDS LÄN</t>
        </is>
      </c>
      <c r="G66" t="inlineStr">
        <is>
          <t>SKARA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46324</v>
      </c>
      <c r="F67" t="inlineStr">
        <is>
          <t>VÄSTRA GÖTALANDS LÄN</t>
        </is>
      </c>
      <c r="G67" t="inlineStr">
        <is>
          <t>SKARA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46324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42874-2022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44832</v>
      </c>
      <c r="E69" s="1" t="n">
        <v>46324</v>
      </c>
      <c r="F69" t="inlineStr">
        <is>
          <t>VÄSTRA GÖTALANDS LÄN</t>
        </is>
      </c>
      <c r="G69" t="inlineStr">
        <is>
          <t>SKARA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45469</v>
      </c>
      <c r="E70" s="1" t="n">
        <v>46324</v>
      </c>
      <c r="F70" t="inlineStr">
        <is>
          <t>VÄSTRA GÖTALANDS LÄN</t>
        </is>
      </c>
      <c r="G70" t="inlineStr">
        <is>
          <t>SKARA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26482-2024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45469</v>
      </c>
      <c r="E71" s="1" t="n">
        <v>46324</v>
      </c>
      <c r="F71" t="inlineStr">
        <is>
          <t>VÄSTRA GÖTALANDS LÄN</t>
        </is>
      </c>
      <c r="G71" t="inlineStr">
        <is>
          <t>SKARA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46324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46324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46324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44978</v>
      </c>
      <c r="E75" s="1" t="n">
        <v>46324</v>
      </c>
      <c r="F75" t="inlineStr">
        <is>
          <t>VÄSTRA GÖTALANDS LÄN</t>
        </is>
      </c>
      <c r="G75" t="inlineStr">
        <is>
          <t>SKARA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46324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46324</v>
      </c>
      <c r="F77" t="inlineStr">
        <is>
          <t>VÄSTRA GÖTALANDS LÄN</t>
        </is>
      </c>
      <c r="G77" t="inlineStr">
        <is>
          <t>SKARA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44953</v>
      </c>
      <c r="E78" s="1" t="n">
        <v>46324</v>
      </c>
      <c r="F78" t="inlineStr">
        <is>
          <t>VÄSTRA GÖTALANDS LÄN</t>
        </is>
      </c>
      <c r="G78" t="inlineStr">
        <is>
          <t>SKARA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46324</v>
      </c>
      <c r="F79" t="inlineStr">
        <is>
          <t>VÄSTRA GÖTALANDS LÄN</t>
        </is>
      </c>
      <c r="G79" t="inlineStr">
        <is>
          <t>SKARA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46324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46324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46324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46324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46324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60233-2023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45258</v>
      </c>
      <c r="E85" s="1" t="n">
        <v>46324</v>
      </c>
      <c r="F85" t="inlineStr">
        <is>
          <t>VÄSTRA GÖTALANDS LÄN</t>
        </is>
      </c>
      <c r="G85" t="inlineStr">
        <is>
          <t>SKARA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45776</v>
      </c>
      <c r="E86" s="1" t="n">
        <v>46324</v>
      </c>
      <c r="F86" t="inlineStr">
        <is>
          <t>VÄSTRA GÖTALANDS LÄN</t>
        </is>
      </c>
      <c r="G86" t="inlineStr">
        <is>
          <t>SKARA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44687</v>
      </c>
      <c r="E87" s="1" t="n">
        <v>46324</v>
      </c>
      <c r="F87" t="inlineStr">
        <is>
          <t>VÄSTRA GÖTALANDS LÄN</t>
        </is>
      </c>
      <c r="G87" t="inlineStr">
        <is>
          <t>SKARA</t>
        </is>
      </c>
      <c r="H87" t="inlineStr">
        <is>
          <t>Kommuner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46324</v>
      </c>
      <c r="F88" t="inlineStr">
        <is>
          <t>VÄSTRA GÖTALANDS LÄN</t>
        </is>
      </c>
      <c r="G88" t="inlineStr">
        <is>
          <t>SKARA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18701-2022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44687</v>
      </c>
      <c r="E89" s="1" t="n">
        <v>46324</v>
      </c>
      <c r="F89" t="inlineStr">
        <is>
          <t>VÄSTRA GÖTALANDS LÄN</t>
        </is>
      </c>
      <c r="G89" t="inlineStr">
        <is>
          <t>SKARA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46324</v>
      </c>
      <c r="F90" t="inlineStr">
        <is>
          <t>VÄSTRA GÖTALANDS LÄN</t>
        </is>
      </c>
      <c r="G90" t="inlineStr">
        <is>
          <t>SKARA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46324</v>
      </c>
      <c r="F91" t="inlineStr">
        <is>
          <t>VÄSTRA GÖTALANDS LÄN</t>
        </is>
      </c>
      <c r="G91" t="inlineStr">
        <is>
          <t>SKARA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45215</v>
      </c>
      <c r="E92" s="1" t="n">
        <v>46324</v>
      </c>
      <c r="F92" t="inlineStr">
        <is>
          <t>VÄSTRA GÖTALANDS LÄN</t>
        </is>
      </c>
      <c r="G92" t="inlineStr">
        <is>
          <t>SKARA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46324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46324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45022</v>
      </c>
      <c r="E95" s="1" t="n">
        <v>46324</v>
      </c>
      <c r="F95" t="inlineStr">
        <is>
          <t>VÄSTRA GÖTALANDS LÄN</t>
        </is>
      </c>
      <c r="G95" t="inlineStr">
        <is>
          <t>SKARA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46324</v>
      </c>
      <c r="F96" t="inlineStr">
        <is>
          <t>VÄSTRA GÖTALANDS LÄN</t>
        </is>
      </c>
      <c r="G96" t="inlineStr">
        <is>
          <t>SKARA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46324</v>
      </c>
      <c r="F97" t="inlineStr">
        <is>
          <t>VÄSTRA GÖTALANDS LÄN</t>
        </is>
      </c>
      <c r="G97" t="inlineStr">
        <is>
          <t>SKARA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46324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45091</v>
      </c>
      <c r="E99" s="1" t="n">
        <v>46324</v>
      </c>
      <c r="F99" t="inlineStr">
        <is>
          <t>VÄSTRA GÖTALANDS LÄN</t>
        </is>
      </c>
      <c r="G99" t="inlineStr">
        <is>
          <t>SKARA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46324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46324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46324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45140</v>
      </c>
      <c r="E103" s="1" t="n">
        <v>46324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46324</v>
      </c>
      <c r="F104" t="inlineStr">
        <is>
          <t>VÄSTRA GÖTALANDS LÄN</t>
        </is>
      </c>
      <c r="G104" t="inlineStr">
        <is>
          <t>SKARA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44995</v>
      </c>
      <c r="E105" s="1" t="n">
        <v>46324</v>
      </c>
      <c r="F105" t="inlineStr">
        <is>
          <t>VÄSTRA GÖTALANDS LÄN</t>
        </is>
      </c>
      <c r="G105" t="inlineStr">
        <is>
          <t>SKARA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46324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46163</v>
      </c>
      <c r="E107" s="1" t="n">
        <v>46324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46324</v>
      </c>
      <c r="F108" t="inlineStr">
        <is>
          <t>VÄSTRA GÖTALANDS LÄN</t>
        </is>
      </c>
      <c r="G108" t="inlineStr">
        <is>
          <t>SKARA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61324-2025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46324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46168</v>
      </c>
      <c r="E110" s="1" t="n">
        <v>46324</v>
      </c>
      <c r="F110" t="inlineStr">
        <is>
          <t>VÄSTRA GÖTALANDS LÄN</t>
        </is>
      </c>
      <c r="G110" t="inlineStr">
        <is>
          <t>SKARA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27668-2022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46324</v>
      </c>
      <c r="F111" t="inlineStr">
        <is>
          <t>VÄSTRA GÖTALANDS LÄN</t>
        </is>
      </c>
      <c r="G111" t="inlineStr">
        <is>
          <t>SKARA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46168</v>
      </c>
      <c r="E112" s="1" t="n">
        <v>46324</v>
      </c>
      <c r="F112" t="inlineStr">
        <is>
          <t>VÄSTRA GÖTALANDS LÄN</t>
        </is>
      </c>
      <c r="G112" t="inlineStr">
        <is>
          <t>SKARA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46324</v>
      </c>
      <c r="F113" t="inlineStr">
        <is>
          <t>VÄSTRA GÖTALANDS LÄN</t>
        </is>
      </c>
      <c r="G113" t="inlineStr">
        <is>
          <t>SKARA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46324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46324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Kyrkan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46324</v>
      </c>
      <c r="F116" t="inlineStr">
        <is>
          <t>VÄSTRA GÖTALANDS LÄN</t>
        </is>
      </c>
      <c r="G116" t="inlineStr">
        <is>
          <t>SKARA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45621</v>
      </c>
      <c r="E117" s="1" t="n">
        <v>46324</v>
      </c>
      <c r="F117" t="inlineStr">
        <is>
          <t>VÄSTRA GÖTALANDS LÄN</t>
        </is>
      </c>
      <c r="G117" t="inlineStr">
        <is>
          <t>SKARA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46324</v>
      </c>
      <c r="F118" t="inlineStr">
        <is>
          <t>VÄSTRA GÖTALANDS LÄN</t>
        </is>
      </c>
      <c r="G118" t="inlineStr">
        <is>
          <t>SKARA</t>
        </is>
      </c>
      <c r="I118" t="n">
        <v>21.6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46324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46324</v>
      </c>
      <c r="F120" t="inlineStr">
        <is>
          <t>VÄSTRA GÖTALANDS LÄN</t>
        </is>
      </c>
      <c r="G120" t="inlineStr">
        <is>
          <t>SKARA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46324</v>
      </c>
      <c r="F121" t="inlineStr">
        <is>
          <t>VÄSTRA GÖTALANDS LÄN</t>
        </is>
      </c>
      <c r="G121" t="inlineStr">
        <is>
          <t>SKARA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46182</v>
      </c>
      <c r="E122" s="1" t="n">
        <v>46324</v>
      </c>
      <c r="F122" t="inlineStr">
        <is>
          <t>VÄSTRA GÖTALANDS LÄN</t>
        </is>
      </c>
      <c r="G122" t="inlineStr">
        <is>
          <t>SKARA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45309</v>
      </c>
      <c r="E123" s="1" t="n">
        <v>46324</v>
      </c>
      <c r="F123" t="inlineStr">
        <is>
          <t>VÄSTRA GÖTALANDS LÄN</t>
        </is>
      </c>
      <c r="G123" t="inlineStr">
        <is>
          <t>SKARA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45224</v>
      </c>
      <c r="E124" s="1" t="n">
        <v>46324</v>
      </c>
      <c r="F124" t="inlineStr">
        <is>
          <t>VÄSTRA GÖTALANDS LÄN</t>
        </is>
      </c>
      <c r="G124" t="inlineStr">
        <is>
          <t>SKARA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27478-2026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46189</v>
      </c>
      <c r="E125" s="1" t="n">
        <v>46324</v>
      </c>
      <c r="F125" t="inlineStr">
        <is>
          <t>VÄSTRA GÖTALANDS LÄN</t>
        </is>
      </c>
      <c r="G125" t="inlineStr">
        <is>
          <t>SKARA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46324</v>
      </c>
      <c r="F126" t="inlineStr">
        <is>
          <t>VÄSTRA GÖTALANDS LÄN</t>
        </is>
      </c>
      <c r="G126" t="inlineStr">
        <is>
          <t>SKARA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46324</v>
      </c>
      <c r="F127" t="inlineStr">
        <is>
          <t>VÄSTRA GÖTALANDS LÄN</t>
        </is>
      </c>
      <c r="G127" t="inlineStr">
        <is>
          <t>SKARA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22870-2024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46324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46324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Kommuner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45719</v>
      </c>
      <c r="E130" s="1" t="n">
        <v>46324</v>
      </c>
      <c r="F130" t="inlineStr">
        <is>
          <t>VÄSTRA GÖTALANDS LÄN</t>
        </is>
      </c>
      <c r="G130" t="inlineStr">
        <is>
          <t>SKARA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46324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46324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46072</v>
      </c>
      <c r="E133" s="1" t="n">
        <v>46324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46324</v>
      </c>
      <c r="F134" t="inlineStr">
        <is>
          <t>VÄSTRA GÖTALANDS LÄN</t>
        </is>
      </c>
      <c r="G134" t="inlineStr">
        <is>
          <t>SKARA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45514</v>
      </c>
      <c r="E135" s="1" t="n">
        <v>46324</v>
      </c>
      <c r="F135" t="inlineStr">
        <is>
          <t>VÄSTRA GÖTALANDS LÄN</t>
        </is>
      </c>
      <c r="G135" t="inlineStr">
        <is>
          <t>SKARA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46324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46324</v>
      </c>
      <c r="F137" t="inlineStr">
        <is>
          <t>VÄSTRA GÖTALANDS LÄN</t>
        </is>
      </c>
      <c r="G137" t="inlineStr">
        <is>
          <t>SKARA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46324</v>
      </c>
      <c r="F138" t="inlineStr">
        <is>
          <t>VÄSTRA GÖTALANDS LÄN</t>
        </is>
      </c>
      <c r="G138" t="inlineStr">
        <is>
          <t>SKARA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46324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12332-2026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46087</v>
      </c>
      <c r="E140" s="1" t="n">
        <v>46324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30019-2023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45109</v>
      </c>
      <c r="E141" s="1" t="n">
        <v>46324</v>
      </c>
      <c r="F141" t="inlineStr">
        <is>
          <t>VÄSTRA GÖTALANDS LÄN</t>
        </is>
      </c>
      <c r="G141" t="inlineStr">
        <is>
          <t>SKARA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46324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45313</v>
      </c>
      <c r="E143" s="1" t="n">
        <v>46324</v>
      </c>
      <c r="F143" t="inlineStr">
        <is>
          <t>VÄSTRA GÖTALANDS LÄN</t>
        </is>
      </c>
      <c r="G143" t="inlineStr">
        <is>
          <t>SKARA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45288</v>
      </c>
      <c r="E144" s="1" t="n">
        <v>46324</v>
      </c>
      <c r="F144" t="inlineStr">
        <is>
          <t>VÄSTRA GÖTALANDS LÄN</t>
        </is>
      </c>
      <c r="G144" t="inlineStr">
        <is>
          <t>SKARA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46324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46324</v>
      </c>
      <c r="F146" t="inlineStr">
        <is>
          <t>VÄSTRA GÖTALANDS LÄN</t>
        </is>
      </c>
      <c r="G146" t="inlineStr">
        <is>
          <t>SKARA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46324</v>
      </c>
      <c r="F147" t="inlineStr">
        <is>
          <t>VÄSTRA GÖTALANDS LÄN</t>
        </is>
      </c>
      <c r="G147" t="inlineStr">
        <is>
          <t>SKARA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46324</v>
      </c>
      <c r="F148" t="inlineStr">
        <is>
          <t>VÄSTRA GÖTALANDS LÄN</t>
        </is>
      </c>
      <c r="G148" t="inlineStr">
        <is>
          <t>SKARA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46324</v>
      </c>
      <c r="F149" t="inlineStr">
        <is>
          <t>VÄSTRA GÖTALANDS LÄN</t>
        </is>
      </c>
      <c r="G149" t="inlineStr">
        <is>
          <t>SKARA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46324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46324</v>
      </c>
      <c r="F151" t="inlineStr">
        <is>
          <t>VÄSTRA GÖTALANDS LÄN</t>
        </is>
      </c>
      <c r="G151" t="inlineStr">
        <is>
          <t>SKARA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46324</v>
      </c>
      <c r="F152" t="inlineStr">
        <is>
          <t>VÄSTRA GÖTALANDS LÄN</t>
        </is>
      </c>
      <c r="G152" t="inlineStr">
        <is>
          <t>SKARA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46324</v>
      </c>
      <c r="F153" t="inlineStr">
        <is>
          <t>VÄSTRA GÖTALANDS LÄN</t>
        </is>
      </c>
      <c r="G153" t="inlineStr">
        <is>
          <t>SKARA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46324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46324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46324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46324</v>
      </c>
      <c r="F157" t="inlineStr">
        <is>
          <t>VÄSTRA GÖTALANDS LÄN</t>
        </is>
      </c>
      <c r="G157" t="inlineStr">
        <is>
          <t>SKARA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46324</v>
      </c>
      <c r="F158" t="inlineStr">
        <is>
          <t>VÄSTRA GÖTALANDS LÄN</t>
        </is>
      </c>
      <c r="G158" t="inlineStr">
        <is>
          <t>SKARA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46324</v>
      </c>
      <c r="F159" t="inlineStr">
        <is>
          <t>VÄSTRA GÖTALANDS LÄN</t>
        </is>
      </c>
      <c r="G159" t="inlineStr">
        <is>
          <t>SKARA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46203</v>
      </c>
      <c r="E160" s="1" t="n">
        <v>46324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Kyrkan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46324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46324</v>
      </c>
      <c r="F162" t="inlineStr">
        <is>
          <t>VÄSTRA GÖTALANDS LÄN</t>
        </is>
      </c>
      <c r="G162" t="inlineStr">
        <is>
          <t>SKARA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46324</v>
      </c>
      <c r="F163" t="inlineStr">
        <is>
          <t>VÄSTRA GÖTALANDS LÄN</t>
        </is>
      </c>
      <c r="G163" t="inlineStr">
        <is>
          <t>SKARA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46324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46324</v>
      </c>
      <c r="F165" t="inlineStr">
        <is>
          <t>VÄSTRA GÖTALANDS LÄN</t>
        </is>
      </c>
      <c r="G165" t="inlineStr">
        <is>
          <t>SKARA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46324</v>
      </c>
      <c r="F166" t="inlineStr">
        <is>
          <t>VÄSTRA GÖTALANDS LÄN</t>
        </is>
      </c>
      <c r="G166" t="inlineStr">
        <is>
          <t>SKARA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46324</v>
      </c>
      <c r="F167" t="inlineStr">
        <is>
          <t>VÄSTRA GÖTALANDS LÄN</t>
        </is>
      </c>
      <c r="G167" t="inlineStr">
        <is>
          <t>SKARA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46324</v>
      </c>
      <c r="F168" t="inlineStr">
        <is>
          <t>VÄSTRA GÖTALANDS LÄN</t>
        </is>
      </c>
      <c r="G168" t="inlineStr">
        <is>
          <t>SKARA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46324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46324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46324</v>
      </c>
      <c r="F171" t="inlineStr">
        <is>
          <t>VÄSTRA GÖTALANDS LÄN</t>
        </is>
      </c>
      <c r="G171" t="inlineStr">
        <is>
          <t>SKARA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46324</v>
      </c>
      <c r="F172" t="inlineStr">
        <is>
          <t>VÄSTRA GÖTALANDS LÄN</t>
        </is>
      </c>
      <c r="G172" t="inlineStr">
        <is>
          <t>SKARA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46324</v>
      </c>
      <c r="F173" t="inlineStr">
        <is>
          <t>VÄSTRA GÖTALANDS LÄN</t>
        </is>
      </c>
      <c r="G173" t="inlineStr">
        <is>
          <t>SKARA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46324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46324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46324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Kyrkan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46324</v>
      </c>
      <c r="F177" t="inlineStr">
        <is>
          <t>VÄSTRA GÖTALANDS LÄN</t>
        </is>
      </c>
      <c r="G177" t="inlineStr">
        <is>
          <t>SKARA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46324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46247</v>
      </c>
      <c r="E179" s="1" t="n">
        <v>46324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46290</v>
      </c>
      <c r="E180" s="1" t="n">
        <v>46324</v>
      </c>
      <c r="F180" t="inlineStr">
        <is>
          <t>VÄSTRA GÖTALANDS LÄN</t>
        </is>
      </c>
      <c r="G180" t="inlineStr">
        <is>
          <t>SKARA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46324</v>
      </c>
      <c r="F181" t="inlineStr">
        <is>
          <t>VÄSTRA GÖTALANDS LÄN</t>
        </is>
      </c>
      <c r="G181" t="inlineStr">
        <is>
          <t>SKARA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46294</v>
      </c>
      <c r="E182" s="1" t="n">
        <v>46324</v>
      </c>
      <c r="F182" t="inlineStr">
        <is>
          <t>VÄSTRA GÖTALANDS LÄN</t>
        </is>
      </c>
      <c r="G182" t="inlineStr">
        <is>
          <t>SKARA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46294</v>
      </c>
      <c r="E183" s="1" t="n">
        <v>46324</v>
      </c>
      <c r="F183" t="inlineStr">
        <is>
          <t>VÄSTRA GÖTALANDS LÄN</t>
        </is>
      </c>
      <c r="G183" t="inlineStr">
        <is>
          <t>SKARA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46294</v>
      </c>
      <c r="E184" s="1" t="n">
        <v>46324</v>
      </c>
      <c r="F184" t="inlineStr">
        <is>
          <t>VÄSTRA GÖTALANDS LÄN</t>
        </is>
      </c>
      <c r="G184" t="inlineStr">
        <is>
          <t>SKARA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46294</v>
      </c>
      <c r="E185" s="1" t="n">
        <v>46324</v>
      </c>
      <c r="F185" t="inlineStr">
        <is>
          <t>VÄSTRA GÖTALANDS LÄN</t>
        </is>
      </c>
      <c r="G185" t="inlineStr">
        <is>
          <t>SKARA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46294</v>
      </c>
      <c r="E186" s="1" t="n">
        <v>46324</v>
      </c>
      <c r="F186" t="inlineStr">
        <is>
          <t>VÄSTRA GÖTALANDS LÄN</t>
        </is>
      </c>
      <c r="G186" t="inlineStr">
        <is>
          <t>SKARA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46324</v>
      </c>
      <c r="F187" t="inlineStr">
        <is>
          <t>VÄSTRA GÖTALANDS LÄN</t>
        </is>
      </c>
      <c r="G187" t="inlineStr">
        <is>
          <t>SKARA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45492</v>
      </c>
      <c r="E188" s="1" t="n">
        <v>46324</v>
      </c>
      <c r="F188" t="inlineStr">
        <is>
          <t>VÄSTRA GÖTALANDS LÄN</t>
        </is>
      </c>
      <c r="G188" t="inlineStr">
        <is>
          <t>SKARA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45667</v>
      </c>
      <c r="E189" s="1" t="n">
        <v>46324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46324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46324</v>
      </c>
      <c r="F191" t="inlineStr">
        <is>
          <t>VÄSTRA GÖTALANDS LÄN</t>
        </is>
      </c>
      <c r="G191" t="inlineStr">
        <is>
          <t>SKARA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46324</v>
      </c>
      <c r="F192" t="inlineStr">
        <is>
          <t>VÄSTRA GÖTALANDS LÄN</t>
        </is>
      </c>
      <c r="G192" t="inlineStr">
        <is>
          <t>SKARA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41260-2026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46300</v>
      </c>
      <c r="E193" s="1" t="n">
        <v>46324</v>
      </c>
      <c r="F193" t="inlineStr">
        <is>
          <t>VÄSTRA GÖTALANDS LÄN</t>
        </is>
      </c>
      <c r="G193" t="inlineStr">
        <is>
          <t>SKARA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46324</v>
      </c>
      <c r="F194" t="inlineStr">
        <is>
          <t>VÄSTRA GÖTALANDS LÄN</t>
        </is>
      </c>
      <c r="G194" t="inlineStr">
        <is>
          <t>SKARA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46324</v>
      </c>
      <c r="F195" t="inlineStr">
        <is>
          <t>VÄSTRA GÖTALANDS LÄN</t>
        </is>
      </c>
      <c r="G195" t="inlineStr">
        <is>
          <t>SKARA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44856</v>
      </c>
      <c r="E196" s="1" t="n">
        <v>46324</v>
      </c>
      <c r="F196" t="inlineStr">
        <is>
          <t>VÄSTRA GÖTALANDS LÄN</t>
        </is>
      </c>
      <c r="G196" t="inlineStr">
        <is>
          <t>SKARA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44860</v>
      </c>
      <c r="E197" s="1" t="n">
        <v>46324</v>
      </c>
      <c r="F197" t="inlineStr">
        <is>
          <t>VÄSTRA GÖTALANDS LÄN</t>
        </is>
      </c>
      <c r="G197" t="inlineStr">
        <is>
          <t>SKARA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46324</v>
      </c>
      <c r="F198" t="inlineStr">
        <is>
          <t>VÄSTRA GÖTALANDS LÄN</t>
        </is>
      </c>
      <c r="G198" t="inlineStr">
        <is>
          <t>SKARA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46324</v>
      </c>
      <c r="F199" t="inlineStr">
        <is>
          <t>VÄSTRA GÖTALANDS LÄN</t>
        </is>
      </c>
      <c r="G199" t="inlineStr">
        <is>
          <t>SKARA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45196</v>
      </c>
      <c r="E200" s="1" t="n">
        <v>46324</v>
      </c>
      <c r="F200" t="inlineStr">
        <is>
          <t>VÄSTRA GÖTALANDS LÄN</t>
        </is>
      </c>
      <c r="G200" t="inlineStr">
        <is>
          <t>SKARA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46324</v>
      </c>
      <c r="F201" t="inlineStr">
        <is>
          <t>VÄSTRA GÖTALANDS LÄN</t>
        </is>
      </c>
      <c r="G201" t="inlineStr">
        <is>
          <t>SKARA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44827</v>
      </c>
      <c r="E202" s="1" t="n">
        <v>46324</v>
      </c>
      <c r="F202" t="inlineStr">
        <is>
          <t>VÄSTRA GÖTALANDS LÄN</t>
        </is>
      </c>
      <c r="G202" t="inlineStr">
        <is>
          <t>SKARA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45492</v>
      </c>
      <c r="E203" s="1" t="n">
        <v>46324</v>
      </c>
      <c r="F203" t="inlineStr">
        <is>
          <t>VÄSTRA GÖTALANDS LÄN</t>
        </is>
      </c>
      <c r="G203" t="inlineStr">
        <is>
          <t>SKARA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46324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44990</v>
      </c>
      <c r="E205" s="1" t="n">
        <v>46324</v>
      </c>
      <c r="F205" t="inlineStr">
        <is>
          <t>VÄSTRA GÖTALANDS LÄN</t>
        </is>
      </c>
      <c r="G205" t="inlineStr">
        <is>
          <t>SKARA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46324</v>
      </c>
      <c r="F206" t="inlineStr">
        <is>
          <t>VÄSTRA GÖTALANDS LÄN</t>
        </is>
      </c>
      <c r="G206" t="inlineStr">
        <is>
          <t>SKARA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46324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45086</v>
      </c>
      <c r="E208" s="1" t="n">
        <v>46324</v>
      </c>
      <c r="F208" t="inlineStr">
        <is>
          <t>VÄSTRA GÖTALANDS LÄN</t>
        </is>
      </c>
      <c r="G208" t="inlineStr">
        <is>
          <t>SKARA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46324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46324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46324</v>
      </c>
      <c r="F211" t="inlineStr">
        <is>
          <t>VÄSTRA GÖTALANDS LÄN</t>
        </is>
      </c>
      <c r="G211" t="inlineStr">
        <is>
          <t>SKARA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46324</v>
      </c>
      <c r="F212" t="inlineStr">
        <is>
          <t>VÄSTRA GÖTALANDS LÄN</t>
        </is>
      </c>
      <c r="G212" t="inlineStr">
        <is>
          <t>SKARA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46324</v>
      </c>
      <c r="F213" t="inlineStr">
        <is>
          <t>VÄSTRA GÖTALANDS LÄN</t>
        </is>
      </c>
      <c r="G213" t="inlineStr">
        <is>
          <t>SKARA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46324</v>
      </c>
      <c r="F214" t="inlineStr">
        <is>
          <t>VÄSTRA GÖTALANDS LÄN</t>
        </is>
      </c>
      <c r="G214" t="inlineStr">
        <is>
          <t>SKARA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46281</v>
      </c>
      <c r="E215" s="1" t="n">
        <v>46324</v>
      </c>
      <c r="F215" t="inlineStr">
        <is>
          <t>VÄSTRA GÖTALANDS LÄN</t>
        </is>
      </c>
      <c r="G215" t="inlineStr">
        <is>
          <t>SKARA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44587</v>
      </c>
      <c r="E216" s="1" t="n">
        <v>46324</v>
      </c>
      <c r="F216" t="inlineStr">
        <is>
          <t>VÄSTRA GÖTALANDS LÄN</t>
        </is>
      </c>
      <c r="G216" t="inlineStr">
        <is>
          <t>SKARA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46324</v>
      </c>
      <c r="F217" t="inlineStr">
        <is>
          <t>VÄSTRA GÖTALANDS LÄN</t>
        </is>
      </c>
      <c r="G217" t="inlineStr">
        <is>
          <t>SKARA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46324</v>
      </c>
      <c r="F218" t="inlineStr">
        <is>
          <t>VÄSTRA GÖTALANDS LÄN</t>
        </is>
      </c>
      <c r="G218" t="inlineStr">
        <is>
          <t>SKARA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1236-2022</t>
        </is>
      </c>
      <c r="B219" t="inlineStr">
        <is>
          <t>samrådsanmälan</t>
        </is>
      </c>
      <c r="C219" t="n">
        <v/>
      </c>
      <c r="D219" s="1" t="n">
        <v>44623</v>
      </c>
      <c r="E219" s="1" t="n">
        <v>46324</v>
      </c>
      <c r="F219" t="inlineStr">
        <is>
          <t>VÄSTRA GÖTALANDS LÄN</t>
        </is>
      </c>
      <c r="G219" t="inlineStr">
        <is>
          <t>SKARA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839-2024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45372</v>
      </c>
      <c r="E220" s="1" t="n">
        <v>46324</v>
      </c>
      <c r="F220" t="inlineStr">
        <is>
          <t>VÄSTRA GÖTALANDS LÄN</t>
        </is>
      </c>
      <c r="G220" t="inlineStr">
        <is>
          <t>SKARA</t>
        </is>
      </c>
      <c r="I220" t="n">
        <v>19.6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2026-10-29T03:13:14Z</dcterms:created>
  <dcterms:modified xmlns:dcterms="http://purl.org/dc/terms/" xmlns:xsi="http://www.w3.org/2001/XMLSchema-instance" xsi:type="dcterms:W3CDTF">2026-10-29T03:13:14Z</dcterms:modified>
</cp:coreProperties>
</file>