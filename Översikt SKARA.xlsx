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46224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46224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46224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46224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46224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46224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46224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46224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46224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46224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46224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46224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46224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46224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46224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46224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Vågbandad barkbock</t>
        </is>
      </c>
      <c r="W19">
        <f>HYPERLINK("https://klasma.github.io/Logging_1495/artfynd/S 725-2026 artfynd.xlsx", "S 725-2026")</f>
        <v/>
      </c>
      <c r="X19">
        <f>HYPERLINK("https://klasma.github.io/Logging_1495/kartor/S 725-2026 karta.png", "S 725-2026")</f>
        <v/>
      </c>
      <c r="Y19">
        <f>HYPERLINK("https://klasma.github.io/Logging_1495/kartor_geotiff/S 725-2026 georefererad karta.tif", "S 725-2026")</f>
        <v/>
      </c>
      <c r="AA19">
        <f>HYPERLINK("https://klasma.github.io/Logging_1495/klagomål/S 725-2026 FSC-klagomål.docx", "S 725-2026")</f>
        <v/>
      </c>
      <c r="AB19">
        <f>HYPERLINK("https://klasma.github.io/Logging_1495/klagomålsmail/S 725-2026 FSC-klagomål mail.docx", "S 725-2026")</f>
        <v/>
      </c>
      <c r="AC19">
        <f>HYPERLINK("https://klasma.github.io/Logging_1495/tillsyn/S 725-2026 tillsynsbegäran.docx", "S 725-2026")</f>
        <v/>
      </c>
      <c r="AD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46224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46224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46224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46224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46224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46224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46224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46224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46224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46224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46224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46224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46224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46224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46224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46224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46224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46224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46224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46224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46224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46224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46224</v>
      </c>
      <c r="F42" t="inlineStr">
        <is>
          <t>VÄSTRA GÖTALANDS LÄN</t>
        </is>
      </c>
      <c r="G42" t="inlineStr">
        <is>
          <t>SKARA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42301-2023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45180</v>
      </c>
      <c r="E43" s="1" t="n">
        <v>46224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46224</v>
      </c>
      <c r="F44" t="inlineStr">
        <is>
          <t>VÄSTRA GÖTALANDS LÄN</t>
        </is>
      </c>
      <c r="G44" t="inlineStr">
        <is>
          <t>SKARA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46224</v>
      </c>
      <c r="F45" t="inlineStr">
        <is>
          <t>VÄSTRA GÖTALANDS LÄN</t>
        </is>
      </c>
      <c r="G45" t="inlineStr">
        <is>
          <t>SKARA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46224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46224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46224</v>
      </c>
      <c r="F48" t="inlineStr">
        <is>
          <t>VÄSTRA GÖTALANDS LÄN</t>
        </is>
      </c>
      <c r="G48" t="inlineStr">
        <is>
          <t>SKARA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46224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46224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46224</v>
      </c>
      <c r="F51" t="inlineStr">
        <is>
          <t>VÄSTRA GÖTALANDS LÄN</t>
        </is>
      </c>
      <c r="G51" t="inlineStr">
        <is>
          <t>SKARA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45824</v>
      </c>
      <c r="E52" s="1" t="n">
        <v>46224</v>
      </c>
      <c r="F52" t="inlineStr">
        <is>
          <t>VÄSTRA GÖTALANDS LÄN</t>
        </is>
      </c>
      <c r="G52" t="inlineStr">
        <is>
          <t>SKARA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46224</v>
      </c>
      <c r="F53" t="inlineStr">
        <is>
          <t>VÄSTRA GÖTALANDS LÄN</t>
        </is>
      </c>
      <c r="G53" t="inlineStr">
        <is>
          <t>SKARA</t>
        </is>
      </c>
      <c r="H53" t="inlineStr">
        <is>
          <t>Kyrkan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46224</v>
      </c>
      <c r="F54" t="inlineStr">
        <is>
          <t>VÄSTRA GÖTALANDS LÄN</t>
        </is>
      </c>
      <c r="G54" t="inlineStr">
        <is>
          <t>SKARA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39365-2025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46224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46224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46224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39492-2025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46224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46224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25219-2025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45800</v>
      </c>
      <c r="E60" s="1" t="n">
        <v>46224</v>
      </c>
      <c r="F60" t="inlineStr">
        <is>
          <t>VÄSTRA GÖTALANDS LÄN</t>
        </is>
      </c>
      <c r="G60" t="inlineStr">
        <is>
          <t>SKARA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45462</v>
      </c>
      <c r="E61" s="1" t="n">
        <v>46224</v>
      </c>
      <c r="F61" t="inlineStr">
        <is>
          <t>VÄSTRA GÖTALANDS LÄN</t>
        </is>
      </c>
      <c r="G61" t="inlineStr">
        <is>
          <t>SKARA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14844-2024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46224</v>
      </c>
      <c r="F62" t="inlineStr">
        <is>
          <t>VÄSTRA GÖTALANDS LÄN</t>
        </is>
      </c>
      <c r="G62" t="inlineStr">
        <is>
          <t>SKARA</t>
        </is>
      </c>
      <c r="H62" t="inlineStr">
        <is>
          <t>Kommuner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46224</v>
      </c>
      <c r="F63" t="inlineStr">
        <is>
          <t>VÄSTRA GÖTALANDS LÄN</t>
        </is>
      </c>
      <c r="G63" t="inlineStr">
        <is>
          <t>SKARA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44887</v>
      </c>
      <c r="E64" s="1" t="n">
        <v>46224</v>
      </c>
      <c r="F64" t="inlineStr">
        <is>
          <t>VÄSTRA GÖTALANDS LÄN</t>
        </is>
      </c>
      <c r="G64" t="inlineStr">
        <is>
          <t>SKARA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55247-2022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44887</v>
      </c>
      <c r="E65" s="1" t="n">
        <v>46224</v>
      </c>
      <c r="F65" t="inlineStr">
        <is>
          <t>VÄSTRA GÖTALANDS LÄN</t>
        </is>
      </c>
      <c r="G65" t="inlineStr">
        <is>
          <t>SKARA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62890-2023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45272</v>
      </c>
      <c r="E66" s="1" t="n">
        <v>46224</v>
      </c>
      <c r="F66" t="inlineStr">
        <is>
          <t>VÄSTRA GÖTALANDS LÄN</t>
        </is>
      </c>
      <c r="G66" t="inlineStr">
        <is>
          <t>SKARA</t>
        </is>
      </c>
      <c r="I66" t="n">
        <v>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45687</v>
      </c>
      <c r="E67" s="1" t="n">
        <v>46224</v>
      </c>
      <c r="F67" t="inlineStr">
        <is>
          <t>VÄSTRA GÖTALANDS LÄN</t>
        </is>
      </c>
      <c r="G67" t="inlineStr">
        <is>
          <t>SKARA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44946</v>
      </c>
      <c r="E68" s="1" t="n">
        <v>46224</v>
      </c>
      <c r="F68" t="inlineStr">
        <is>
          <t>VÄSTRA GÖTALANDS LÄN</t>
        </is>
      </c>
      <c r="G68" t="inlineStr">
        <is>
          <t>SKARA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46224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46224</v>
      </c>
      <c r="F70" t="inlineStr">
        <is>
          <t>VÄSTRA GÖTALANDS LÄN</t>
        </is>
      </c>
      <c r="G70" t="inlineStr">
        <is>
          <t>SKARA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46224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46224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46224</v>
      </c>
      <c r="F73" t="inlineStr">
        <is>
          <t>VÄSTRA GÖTALANDS LÄN</t>
        </is>
      </c>
      <c r="G73" t="inlineStr">
        <is>
          <t>SKARA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46224</v>
      </c>
      <c r="F74" t="inlineStr">
        <is>
          <t>VÄSTRA GÖTALANDS LÄN</t>
        </is>
      </c>
      <c r="G74" t="inlineStr">
        <is>
          <t>SKARA</t>
        </is>
      </c>
      <c r="H74" t="inlineStr">
        <is>
          <t>Kyrkan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46224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45469</v>
      </c>
      <c r="E76" s="1" t="n">
        <v>46224</v>
      </c>
      <c r="F76" t="inlineStr">
        <is>
          <t>VÄSTRA GÖTALANDS LÄN</t>
        </is>
      </c>
      <c r="G76" t="inlineStr">
        <is>
          <t>SKARA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46224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46224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47010-2025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45929</v>
      </c>
      <c r="E79" s="1" t="n">
        <v>46224</v>
      </c>
      <c r="F79" t="inlineStr">
        <is>
          <t>VÄSTRA GÖTALANDS LÄN</t>
        </is>
      </c>
      <c r="G79" t="inlineStr">
        <is>
          <t>SKARA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45932</v>
      </c>
      <c r="E80" s="1" t="n">
        <v>46224</v>
      </c>
      <c r="F80" t="inlineStr">
        <is>
          <t>VÄSTRA GÖTALANDS LÄN</t>
        </is>
      </c>
      <c r="G80" t="inlineStr">
        <is>
          <t>SKARA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46224</v>
      </c>
      <c r="F81" t="inlineStr">
        <is>
          <t>VÄSTRA GÖTALANDS LÄN</t>
        </is>
      </c>
      <c r="G81" t="inlineStr">
        <is>
          <t>SKARA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46224</v>
      </c>
      <c r="F82" t="inlineStr">
        <is>
          <t>VÄSTRA GÖTALANDS LÄN</t>
        </is>
      </c>
      <c r="G82" t="inlineStr">
        <is>
          <t>SKARA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44953</v>
      </c>
      <c r="E83" s="1" t="n">
        <v>46224</v>
      </c>
      <c r="F83" t="inlineStr">
        <is>
          <t>VÄSTRA GÖTALANDS LÄN</t>
        </is>
      </c>
      <c r="G83" t="inlineStr">
        <is>
          <t>SKARA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46224</v>
      </c>
      <c r="F84" t="inlineStr">
        <is>
          <t>VÄSTRA GÖTALANDS LÄN</t>
        </is>
      </c>
      <c r="G84" t="inlineStr">
        <is>
          <t>SKARA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46224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60233-2023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45258</v>
      </c>
      <c r="E86" s="1" t="n">
        <v>46224</v>
      </c>
      <c r="F86" t="inlineStr">
        <is>
          <t>VÄSTRA GÖTALANDS LÄN</t>
        </is>
      </c>
      <c r="G86" t="inlineStr">
        <is>
          <t>SKARA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45776</v>
      </c>
      <c r="E87" s="1" t="n">
        <v>46224</v>
      </c>
      <c r="F87" t="inlineStr">
        <is>
          <t>VÄSTRA GÖTALANDS LÄN</t>
        </is>
      </c>
      <c r="G87" t="inlineStr">
        <is>
          <t>SKARA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46224</v>
      </c>
      <c r="F88" t="inlineStr">
        <is>
          <t>VÄSTRA GÖTALANDS LÄN</t>
        </is>
      </c>
      <c r="G88" t="inlineStr">
        <is>
          <t>SKARA</t>
        </is>
      </c>
      <c r="H88" t="inlineStr">
        <is>
          <t>Kommuner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46224</v>
      </c>
      <c r="F89" t="inlineStr">
        <is>
          <t>VÄSTRA GÖTALANDS LÄN</t>
        </is>
      </c>
      <c r="G89" t="inlineStr">
        <is>
          <t>SKARA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45958</v>
      </c>
      <c r="E90" s="1" t="n">
        <v>46224</v>
      </c>
      <c r="F90" t="inlineStr">
        <is>
          <t>VÄSTRA GÖTALANDS LÄN</t>
        </is>
      </c>
      <c r="G90" t="inlineStr">
        <is>
          <t>SKARA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45492</v>
      </c>
      <c r="E91" s="1" t="n">
        <v>46224</v>
      </c>
      <c r="F91" t="inlineStr">
        <is>
          <t>VÄSTRA GÖTALANDS LÄN</t>
        </is>
      </c>
      <c r="G91" t="inlineStr">
        <is>
          <t>SKARA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45667</v>
      </c>
      <c r="E92" s="1" t="n">
        <v>46224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53527-2025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45960</v>
      </c>
      <c r="E93" s="1" t="n">
        <v>46224</v>
      </c>
      <c r="F93" t="inlineStr">
        <is>
          <t>VÄSTRA GÖTALANDS LÄN</t>
        </is>
      </c>
      <c r="G93" t="inlineStr">
        <is>
          <t>SKARA</t>
        </is>
      </c>
      <c r="H93" t="inlineStr">
        <is>
          <t>Kyrkan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45299</v>
      </c>
      <c r="E94" s="1" t="n">
        <v>46224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46224</v>
      </c>
      <c r="F95" t="inlineStr">
        <is>
          <t>VÄSTRA GÖTALANDS LÄN</t>
        </is>
      </c>
      <c r="G95" t="inlineStr">
        <is>
          <t>SKARA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46224</v>
      </c>
      <c r="F96" t="inlineStr">
        <is>
          <t>VÄSTRA GÖTALANDS LÄN</t>
        </is>
      </c>
      <c r="G96" t="inlineStr">
        <is>
          <t>SKARA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45874</v>
      </c>
      <c r="E97" s="1" t="n">
        <v>46224</v>
      </c>
      <c r="F97" t="inlineStr">
        <is>
          <t>VÄSTRA GÖTALANDS LÄN</t>
        </is>
      </c>
      <c r="G97" t="inlineStr">
        <is>
          <t>SKARA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46224</v>
      </c>
      <c r="F98" t="inlineStr">
        <is>
          <t>VÄSTRA GÖTALANDS LÄN</t>
        </is>
      </c>
      <c r="G98" t="inlineStr">
        <is>
          <t>SKARA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46224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44856</v>
      </c>
      <c r="E100" s="1" t="n">
        <v>46224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44860</v>
      </c>
      <c r="E101" s="1" t="n">
        <v>46224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46224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46224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46224</v>
      </c>
      <c r="F104" t="inlineStr">
        <is>
          <t>VÄSTRA GÖTALANDS LÄN</t>
        </is>
      </c>
      <c r="G104" t="inlineStr">
        <is>
          <t>SKARA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46001</v>
      </c>
      <c r="E105" s="1" t="n">
        <v>46224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45713</v>
      </c>
      <c r="E106" s="1" t="n">
        <v>46224</v>
      </c>
      <c r="F106" t="inlineStr">
        <is>
          <t>VÄSTRA GÖTALANDS LÄN</t>
        </is>
      </c>
      <c r="G106" t="inlineStr">
        <is>
          <t>SKARA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46224</v>
      </c>
      <c r="F107" t="inlineStr">
        <is>
          <t>VÄSTRA GÖTALANDS LÄN</t>
        </is>
      </c>
      <c r="G107" t="inlineStr">
        <is>
          <t>SKARA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46052</v>
      </c>
      <c r="E108" s="1" t="n">
        <v>46224</v>
      </c>
      <c r="F108" t="inlineStr">
        <is>
          <t>VÄSTRA GÖTALANDS LÄN</t>
        </is>
      </c>
      <c r="G108" t="inlineStr">
        <is>
          <t>SKARA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41562-2022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44827</v>
      </c>
      <c r="E109" s="1" t="n">
        <v>46224</v>
      </c>
      <c r="F109" t="inlineStr">
        <is>
          <t>VÄSTRA GÖTALANDS LÄN</t>
        </is>
      </c>
      <c r="G109" t="inlineStr">
        <is>
          <t>SKARA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45492</v>
      </c>
      <c r="E110" s="1" t="n">
        <v>46224</v>
      </c>
      <c r="F110" t="inlineStr">
        <is>
          <t>VÄSTRA GÖTALANDS LÄN</t>
        </is>
      </c>
      <c r="G110" t="inlineStr">
        <is>
          <t>SKARA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46224</v>
      </c>
      <c r="F111" t="inlineStr">
        <is>
          <t>VÄSTRA GÖTALANDS LÄN</t>
        </is>
      </c>
      <c r="G111" t="inlineStr">
        <is>
          <t>SKARA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46224</v>
      </c>
      <c r="F112" t="inlineStr">
        <is>
          <t>VÄSTRA GÖTALANDS LÄN</t>
        </is>
      </c>
      <c r="G112" t="inlineStr">
        <is>
          <t>SKARA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7531-2026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46059</v>
      </c>
      <c r="E113" s="1" t="n">
        <v>46224</v>
      </c>
      <c r="F113" t="inlineStr">
        <is>
          <t>VÄSTRA GÖTALANDS LÄN</t>
        </is>
      </c>
      <c r="G113" t="inlineStr">
        <is>
          <t>SKARA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46224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44990</v>
      </c>
      <c r="E115" s="1" t="n">
        <v>46224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46224</v>
      </c>
      <c r="F116" t="inlineStr">
        <is>
          <t>VÄSTRA GÖTALANDS LÄN</t>
        </is>
      </c>
      <c r="G116" t="inlineStr">
        <is>
          <t>SKARA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55211-2024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45621</v>
      </c>
      <c r="E117" s="1" t="n">
        <v>46224</v>
      </c>
      <c r="F117" t="inlineStr">
        <is>
          <t>VÄSTRA GÖTALANDS LÄN</t>
        </is>
      </c>
      <c r="G117" t="inlineStr">
        <is>
          <t>SKARA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46224</v>
      </c>
      <c r="F118" t="inlineStr">
        <is>
          <t>VÄSTRA GÖTALANDS LÄN</t>
        </is>
      </c>
      <c r="G118" t="inlineStr">
        <is>
          <t>SKARA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46224</v>
      </c>
      <c r="F119" t="inlineStr">
        <is>
          <t>VÄSTRA GÖTALANDS LÄN</t>
        </is>
      </c>
      <c r="G119" t="inlineStr">
        <is>
          <t>SKARA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45086</v>
      </c>
      <c r="E120" s="1" t="n">
        <v>46224</v>
      </c>
      <c r="F120" t="inlineStr">
        <is>
          <t>VÄSTRA GÖTALANDS LÄN</t>
        </is>
      </c>
      <c r="G120" t="inlineStr">
        <is>
          <t>SKARA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46224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46224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46224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46224</v>
      </c>
      <c r="F124" t="inlineStr">
        <is>
          <t>VÄSTRA GÖTALANDS LÄN</t>
        </is>
      </c>
      <c r="G124" t="inlineStr">
        <is>
          <t>SKARA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12332-2026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46087</v>
      </c>
      <c r="E125" s="1" t="n">
        <v>46224</v>
      </c>
      <c r="F125" t="inlineStr">
        <is>
          <t>VÄSTRA GÖTALANDS LÄN</t>
        </is>
      </c>
      <c r="G125" t="inlineStr">
        <is>
          <t>SKARA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13276-2026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46224</v>
      </c>
      <c r="F126" t="inlineStr">
        <is>
          <t>VÄSTRA GÖTALANDS LÄN</t>
        </is>
      </c>
      <c r="G126" t="inlineStr">
        <is>
          <t>SKARA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46224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44587</v>
      </c>
      <c r="E128" s="1" t="n">
        <v>46224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46224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43564-2021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44433</v>
      </c>
      <c r="E130" s="1" t="n">
        <v>46224</v>
      </c>
      <c r="F130" t="inlineStr">
        <is>
          <t>VÄSTRA GÖTALANDS LÄN</t>
        </is>
      </c>
      <c r="G130" t="inlineStr">
        <is>
          <t>SKARA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46224</v>
      </c>
      <c r="F131" t="inlineStr">
        <is>
          <t>VÄSTRA GÖTALANDS LÄN</t>
        </is>
      </c>
      <c r="G131" t="inlineStr">
        <is>
          <t>SKARA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46224</v>
      </c>
      <c r="F132" t="inlineStr">
        <is>
          <t>VÄSTRA GÖTALANDS LÄN</t>
        </is>
      </c>
      <c r="G132" t="inlineStr">
        <is>
          <t>SKARA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46224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46224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46224</v>
      </c>
      <c r="F135" t="inlineStr">
        <is>
          <t>VÄSTRA GÖTALANDS LÄN</t>
        </is>
      </c>
      <c r="G135" t="inlineStr">
        <is>
          <t>SKARA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46224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16085-2026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46224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45196</v>
      </c>
      <c r="E138" s="1" t="n">
        <v>46224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46224</v>
      </c>
      <c r="F139" t="inlineStr">
        <is>
          <t>VÄSTRA GÖTALANDS LÄN</t>
        </is>
      </c>
      <c r="G139" t="inlineStr">
        <is>
          <t>SKARA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46224</v>
      </c>
      <c r="F140" t="inlineStr">
        <is>
          <t>VÄSTRA GÖTALANDS LÄN</t>
        </is>
      </c>
      <c r="G140" t="inlineStr">
        <is>
          <t>SKARA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46224</v>
      </c>
      <c r="F141" t="inlineStr">
        <is>
          <t>VÄSTRA GÖTALANDS LÄN</t>
        </is>
      </c>
      <c r="G141" t="inlineStr">
        <is>
          <t>SKARA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46224</v>
      </c>
      <c r="F142" t="inlineStr">
        <is>
          <t>VÄSTRA GÖTALANDS LÄN</t>
        </is>
      </c>
      <c r="G142" t="inlineStr">
        <is>
          <t>SKARA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46224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44701</v>
      </c>
      <c r="E144" s="1" t="n">
        <v>46224</v>
      </c>
      <c r="F144" t="inlineStr">
        <is>
          <t>VÄSTRA GÖTALANDS LÄN</t>
        </is>
      </c>
      <c r="G144" t="inlineStr">
        <is>
          <t>SKARA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46224</v>
      </c>
      <c r="F145" t="inlineStr">
        <is>
          <t>VÄSTRA GÖTALANDS LÄN</t>
        </is>
      </c>
      <c r="G145" t="inlineStr">
        <is>
          <t>SKARA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46224</v>
      </c>
      <c r="F146" t="inlineStr">
        <is>
          <t>VÄSTRA GÖTALANDS LÄN</t>
        </is>
      </c>
      <c r="G146" t="inlineStr">
        <is>
          <t>SKARA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46224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46129</v>
      </c>
      <c r="E148" s="1" t="n">
        <v>46224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46224</v>
      </c>
      <c r="F149" t="inlineStr">
        <is>
          <t>VÄSTRA GÖTALANDS LÄN</t>
        </is>
      </c>
      <c r="G149" t="inlineStr">
        <is>
          <t>SKARA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45224</v>
      </c>
      <c r="E150" s="1" t="n">
        <v>46224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46224</v>
      </c>
      <c r="F151" t="inlineStr">
        <is>
          <t>VÄSTRA GÖTALANDS LÄN</t>
        </is>
      </c>
      <c r="G151" t="inlineStr">
        <is>
          <t>SKARA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46224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46224</v>
      </c>
      <c r="F153" t="inlineStr">
        <is>
          <t>VÄSTRA GÖTALANDS LÄN</t>
        </is>
      </c>
      <c r="G153" t="inlineStr">
        <is>
          <t>SKARA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45149</v>
      </c>
      <c r="E154" s="1" t="n">
        <v>46224</v>
      </c>
      <c r="F154" t="inlineStr">
        <is>
          <t>VÄSTRA GÖTALANDS LÄN</t>
        </is>
      </c>
      <c r="G154" t="inlineStr">
        <is>
          <t>SKARA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36045-2023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45149</v>
      </c>
      <c r="E155" s="1" t="n">
        <v>46224</v>
      </c>
      <c r="F155" t="inlineStr">
        <is>
          <t>VÄSTRA GÖTALANDS LÄN</t>
        </is>
      </c>
      <c r="G155" t="inlineStr">
        <is>
          <t>SKARA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19950-2026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46136</v>
      </c>
      <c r="E156" s="1" t="n">
        <v>46224</v>
      </c>
      <c r="F156" t="inlineStr">
        <is>
          <t>VÄSTRA GÖTALANDS LÄN</t>
        </is>
      </c>
      <c r="G156" t="inlineStr">
        <is>
          <t>SKARA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46224</v>
      </c>
      <c r="F157" t="inlineStr">
        <is>
          <t>VÄSTRA GÖTALANDS LÄN</t>
        </is>
      </c>
      <c r="G157" t="inlineStr">
        <is>
          <t>SKARA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46224</v>
      </c>
      <c r="F158" t="inlineStr">
        <is>
          <t>VÄSTRA GÖTALANDS LÄN</t>
        </is>
      </c>
      <c r="G158" t="inlineStr">
        <is>
          <t>SKARA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46224</v>
      </c>
      <c r="F159" t="inlineStr">
        <is>
          <t>VÄSTRA GÖTALANDS LÄN</t>
        </is>
      </c>
      <c r="G159" t="inlineStr">
        <is>
          <t>SKARA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46224</v>
      </c>
      <c r="F160" t="inlineStr">
        <is>
          <t>VÄSTRA GÖTALANDS LÄN</t>
        </is>
      </c>
      <c r="G160" t="inlineStr">
        <is>
          <t>SKARA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46224</v>
      </c>
      <c r="F161" t="inlineStr">
        <is>
          <t>VÄSTRA GÖTALANDS LÄN</t>
        </is>
      </c>
      <c r="G161" t="inlineStr">
        <is>
          <t>SKARA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46224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42874-2022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44832</v>
      </c>
      <c r="E163" s="1" t="n">
        <v>46224</v>
      </c>
      <c r="F163" t="inlineStr">
        <is>
          <t>VÄSTRA GÖTALANDS LÄN</t>
        </is>
      </c>
      <c r="G163" t="inlineStr">
        <is>
          <t>SKARA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46224</v>
      </c>
      <c r="F164" t="inlineStr">
        <is>
          <t>VÄSTRA GÖTALANDS LÄN</t>
        </is>
      </c>
      <c r="G164" t="inlineStr">
        <is>
          <t>SKARA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45469</v>
      </c>
      <c r="E165" s="1" t="n">
        <v>46224</v>
      </c>
      <c r="F165" t="inlineStr">
        <is>
          <t>VÄSTRA GÖTALANDS LÄN</t>
        </is>
      </c>
      <c r="G165" t="inlineStr">
        <is>
          <t>SKARA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46224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46182</v>
      </c>
      <c r="E167" s="1" t="n">
        <v>46224</v>
      </c>
      <c r="F167" t="inlineStr">
        <is>
          <t>VÄSTRA GÖTALANDS LÄN</t>
        </is>
      </c>
      <c r="G167" t="inlineStr">
        <is>
          <t>SKARA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18701-2022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44687</v>
      </c>
      <c r="E168" s="1" t="n">
        <v>46224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46224</v>
      </c>
      <c r="F169" t="inlineStr">
        <is>
          <t>VÄSTRA GÖTALANDS LÄN</t>
        </is>
      </c>
      <c r="G169" t="inlineStr">
        <is>
          <t>SKARA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46224</v>
      </c>
      <c r="F170" t="inlineStr">
        <is>
          <t>VÄSTRA GÖTALANDS LÄN</t>
        </is>
      </c>
      <c r="G170" t="inlineStr">
        <is>
          <t>SKARA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44957</v>
      </c>
      <c r="E171" s="1" t="n">
        <v>46224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45022</v>
      </c>
      <c r="E172" s="1" t="n">
        <v>46224</v>
      </c>
      <c r="F172" t="inlineStr">
        <is>
          <t>VÄSTRA GÖTALANDS LÄN</t>
        </is>
      </c>
      <c r="G172" t="inlineStr">
        <is>
          <t>SKARA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27478-2026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46189</v>
      </c>
      <c r="E173" s="1" t="n">
        <v>46224</v>
      </c>
      <c r="F173" t="inlineStr">
        <is>
          <t>VÄSTRA GÖTALANDS LÄN</t>
        </is>
      </c>
      <c r="G173" t="inlineStr">
        <is>
          <t>SKARA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44496</v>
      </c>
      <c r="E174" s="1" t="n">
        <v>46224</v>
      </c>
      <c r="F174" t="inlineStr">
        <is>
          <t>VÄSTRA GÖTALANDS LÄN</t>
        </is>
      </c>
      <c r="G174" t="inlineStr">
        <is>
          <t>SKARA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46224</v>
      </c>
      <c r="F175" t="inlineStr">
        <is>
          <t>VÄSTRA GÖTALANDS LÄN</t>
        </is>
      </c>
      <c r="G175" t="inlineStr">
        <is>
          <t>SKARA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46224</v>
      </c>
      <c r="F176" t="inlineStr">
        <is>
          <t>VÄSTRA GÖTALANDS LÄN</t>
        </is>
      </c>
      <c r="G176" t="inlineStr">
        <is>
          <t>SKARA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46224</v>
      </c>
      <c r="F177" t="inlineStr">
        <is>
          <t>VÄSTRA GÖTALANDS LÄN</t>
        </is>
      </c>
      <c r="G177" t="inlineStr">
        <is>
          <t>SKARA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34569-2023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46224</v>
      </c>
      <c r="F178" t="inlineStr">
        <is>
          <t>VÄSTRA GÖTALANDS LÄN</t>
        </is>
      </c>
      <c r="G178" t="inlineStr">
        <is>
          <t>SKARA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45314</v>
      </c>
      <c r="E179" s="1" t="n">
        <v>46224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44995</v>
      </c>
      <c r="E180" s="1" t="n">
        <v>46224</v>
      </c>
      <c r="F180" t="inlineStr">
        <is>
          <t>VÄSTRA GÖTALANDS LÄN</t>
        </is>
      </c>
      <c r="G180" t="inlineStr">
        <is>
          <t>SKARA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10913-2024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45370</v>
      </c>
      <c r="E181" s="1" t="n">
        <v>46224</v>
      </c>
      <c r="F181" t="inlineStr">
        <is>
          <t>VÄSTRA GÖTALANDS LÄN</t>
        </is>
      </c>
      <c r="G181" t="inlineStr">
        <is>
          <t>SKARA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46224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46224</v>
      </c>
      <c r="F183" t="inlineStr">
        <is>
          <t>VÄSTRA GÖTALANDS LÄN</t>
        </is>
      </c>
      <c r="G183" t="inlineStr">
        <is>
          <t>SKARA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46224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46224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46224</v>
      </c>
      <c r="F186" t="inlineStr">
        <is>
          <t>VÄSTRA GÖTALANDS LÄN</t>
        </is>
      </c>
      <c r="G186" t="inlineStr">
        <is>
          <t>SKARA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46224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46224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46163</v>
      </c>
      <c r="E189" s="1" t="n">
        <v>46224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46224</v>
      </c>
      <c r="F190" t="inlineStr">
        <is>
          <t>VÄSTRA GÖTALANDS LÄN</t>
        </is>
      </c>
      <c r="G190" t="inlineStr">
        <is>
          <t>SKARA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45288</v>
      </c>
      <c r="E191" s="1" t="n">
        <v>46224</v>
      </c>
      <c r="F191" t="inlineStr">
        <is>
          <t>VÄSTRA GÖTALANDS LÄN</t>
        </is>
      </c>
      <c r="G191" t="inlineStr">
        <is>
          <t>SKARA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46224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24145-2026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46168</v>
      </c>
      <c r="E193" s="1" t="n">
        <v>46224</v>
      </c>
      <c r="F193" t="inlineStr">
        <is>
          <t>VÄSTRA GÖTALANDS LÄN</t>
        </is>
      </c>
      <c r="G193" t="inlineStr">
        <is>
          <t>SKARA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46224</v>
      </c>
      <c r="F194" t="inlineStr">
        <is>
          <t>VÄSTRA GÖTALANDS LÄN</t>
        </is>
      </c>
      <c r="G194" t="inlineStr">
        <is>
          <t>SKARA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46224</v>
      </c>
      <c r="F195" t="inlineStr">
        <is>
          <t>VÄSTRA GÖTALANDS LÄN</t>
        </is>
      </c>
      <c r="G195" t="inlineStr">
        <is>
          <t>SKARA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46224</v>
      </c>
      <c r="F196" t="inlineStr">
        <is>
          <t>VÄSTRA GÖTALANDS LÄN</t>
        </is>
      </c>
      <c r="G196" t="inlineStr">
        <is>
          <t>SKARA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46203</v>
      </c>
      <c r="E197" s="1" t="n">
        <v>46224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Kyrkan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45448</v>
      </c>
      <c r="E198" s="1" t="n">
        <v>46224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Sveaskog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45175</v>
      </c>
      <c r="E199" s="1" t="n">
        <v>46224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Kommuner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46224</v>
      </c>
      <c r="F200" t="inlineStr">
        <is>
          <t>VÄSTRA GÖTALANDS LÄN</t>
        </is>
      </c>
      <c r="G200" t="inlineStr">
        <is>
          <t>SKARA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46224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46224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46224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46224</v>
      </c>
      <c r="F204" t="inlineStr">
        <is>
          <t>VÄSTRA GÖTALANDS LÄN</t>
        </is>
      </c>
      <c r="G204" t="inlineStr">
        <is>
          <t>SKARA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45109</v>
      </c>
      <c r="E205" s="1" t="n">
        <v>46224</v>
      </c>
      <c r="F205" t="inlineStr">
        <is>
          <t>VÄSTRA GÖTALANDS LÄN</t>
        </is>
      </c>
      <c r="G205" t="inlineStr">
        <is>
          <t>SKARA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46224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46224</v>
      </c>
      <c r="F207" t="inlineStr">
        <is>
          <t>VÄSTRA GÖTALANDS LÄN</t>
        </is>
      </c>
      <c r="G207" t="inlineStr">
        <is>
          <t>SKARA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46224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46224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46224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46224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46224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2026-07-21T01:35:27Z</dcterms:created>
  <dcterms:modified xmlns:dcterms="http://purl.org/dc/terms/" xmlns:xsi="http://www.w3.org/2001/XMLSchema-instance" xsi:type="dcterms:W3CDTF">2026-07-21T01:35:28Z</dcterms:modified>
</cp:coreProperties>
</file>