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46315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46315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46315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46315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46315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46315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46315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46315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46315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9277-2023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44980</v>
      </c>
      <c r="E11" s="1" t="n">
        <v>46315</v>
      </c>
      <c r="F11" t="inlineStr">
        <is>
          <t>VÄSTRA GÖTALANDS LÄN</t>
        </is>
      </c>
      <c r="G11" t="inlineStr">
        <is>
          <t>SKARA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HYPERLINK("https://klasma.github.io/Logging_1495/artfynd/A 9277-2023 artfynd.xlsx", "A 9277-2023")</f>
        <v/>
      </c>
      <c r="X11">
        <f>HYPERLINK("https://klasma.github.io/Logging_1495/kartor/A 9277-2023 karta.png", "A 9277-2023")</f>
        <v/>
      </c>
      <c r="Y11">
        <f>HYPERLINK("https://klasma.github.io/Logging_1495/kartor_geotiff/A 9277-2023 georefererad karta.tif", "A 9277-2023")</f>
        <v/>
      </c>
      <c r="AA11">
        <f>HYPERLINK("https://klasma.github.io/Logging_1495/klagomål/A 9277-2023 FSC-klagomål.docx", "A 9277-2023")</f>
        <v/>
      </c>
      <c r="AB11">
        <f>HYPERLINK("https://klasma.github.io/Logging_1495/klagomålsmail/A 9277-2023 FSC-klagomål mail.docx", "A 9277-2023")</f>
        <v/>
      </c>
      <c r="AC11">
        <f>HYPERLINK("https://klasma.github.io/Logging_1495/tillsyn/A 9277-2023 tillsynsbegäran.docx", "A 9277-2023")</f>
        <v/>
      </c>
      <c r="AD11">
        <f>HYPERLINK("https://klasma.github.io/Logging_1495/tillsynsmail/A 9277-2023 tillsynsbegäran mail.docx", "A 9277-2023")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46315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46315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23455-2026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46315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1.1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HYPERLINK("https://klasma.github.io/Logging_1495/artfynd/A 23455-2026 artfynd.xlsx", "A 23455-2026")</f>
        <v/>
      </c>
      <c r="X14">
        <f>HYPERLINK("https://klasma.github.io/Logging_1495/kartor/A 23455-2026 karta.png", "A 23455-2026")</f>
        <v/>
      </c>
      <c r="Y14">
        <f>HYPERLINK("https://klasma.github.io/Logging_1495/kartor_geotiff/A 23455-2026 georefererad karta.tif", "A 23455-2026")</f>
        <v/>
      </c>
      <c r="AA14">
        <f>HYPERLINK("https://klasma.github.io/Logging_1495/klagomål/A 23455-2026 FSC-klagomål.docx", "A 23455-2026")</f>
        <v/>
      </c>
      <c r="AB14">
        <f>HYPERLINK("https://klasma.github.io/Logging_1495/klagomålsmail/A 23455-2026 FSC-klagomål mail.docx", "A 23455-2026")</f>
        <v/>
      </c>
      <c r="AC14">
        <f>HYPERLINK("https://klasma.github.io/Logging_1495/tillsyn/A 23455-2026 tillsynsbegäran.docx", "A 23455-2026")</f>
        <v/>
      </c>
      <c r="AD14">
        <f>HYPERLINK("https://klasma.github.io/Logging_1495/tillsynsmail/A 23455-2026 tillsynsbegäran mail.docx", "A 23455-2026")</f>
        <v/>
      </c>
    </row>
    <row r="15" ht="15" customHeight="1">
      <c r="A15" t="inlineStr">
        <is>
          <t>A 52041-2023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45223</v>
      </c>
      <c r="E15" s="1" t="n">
        <v>46315</v>
      </c>
      <c r="F15" t="inlineStr">
        <is>
          <t>VÄSTRA GÖTALANDS LÄN</t>
        </is>
      </c>
      <c r="G15" t="inlineStr">
        <is>
          <t>SKARA</t>
        </is>
      </c>
      <c r="I15" t="n">
        <v>5.9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Svinrot</t>
        </is>
      </c>
      <c r="W15">
        <f>HYPERLINK("https://klasma.github.io/Logging_1495/artfynd/A 52041-2023 artfynd.xlsx", "A 52041-2023")</f>
        <v/>
      </c>
      <c r="X15">
        <f>HYPERLINK("https://klasma.github.io/Logging_1495/kartor/A 52041-2023 karta.png", "A 52041-2023")</f>
        <v/>
      </c>
      <c r="Y15">
        <f>HYPERLINK("https://klasma.github.io/Logging_1495/kartor_geotiff/A 52041-2023 georefererad karta.tif", "A 52041-2023")</f>
        <v/>
      </c>
      <c r="AA15">
        <f>HYPERLINK("https://klasma.github.io/Logging_1495/klagomål/A 52041-2023 FSC-klagomål.docx", "A 52041-2023")</f>
        <v/>
      </c>
      <c r="AB15">
        <f>HYPERLINK("https://klasma.github.io/Logging_1495/klagomålsmail/A 52041-2023 FSC-klagomål mail.docx", "A 52041-2023")</f>
        <v/>
      </c>
      <c r="AC15">
        <f>HYPERLINK("https://klasma.github.io/Logging_1495/tillsyn/A 52041-2023 tillsynsbegäran.docx", "A 52041-2023")</f>
        <v/>
      </c>
      <c r="AD15">
        <f>HYPERLINK("https://klasma.github.io/Logging_1495/tillsynsmail/A 52041-2023 tillsynsbegäran mail.docx", "A 52041-2023")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46315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46315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46315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46315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46315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46315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46315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46315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46315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46315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46315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46315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46315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46315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46315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46315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46315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46315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46315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68932-2021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46315</v>
      </c>
      <c r="F35" t="inlineStr">
        <is>
          <t>VÄSTRA GÖTALANDS LÄN</t>
        </is>
      </c>
      <c r="G35" t="inlineStr">
        <is>
          <t>SKARA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46315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46315</v>
      </c>
      <c r="F37" t="inlineStr">
        <is>
          <t>VÄSTRA GÖTALANDS LÄN</t>
        </is>
      </c>
      <c r="G37" t="inlineStr">
        <is>
          <t>SKARA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45272</v>
      </c>
      <c r="E38" s="1" t="n">
        <v>46315</v>
      </c>
      <c r="F38" t="inlineStr">
        <is>
          <t>VÄSTRA GÖTALANDS LÄN</t>
        </is>
      </c>
      <c r="G38" t="inlineStr">
        <is>
          <t>SKARA</t>
        </is>
      </c>
      <c r="I38" t="n">
        <v>7.6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14844-2024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46315</v>
      </c>
      <c r="F39" t="inlineStr">
        <is>
          <t>VÄSTRA GÖTALANDS LÄN</t>
        </is>
      </c>
      <c r="G39" t="inlineStr">
        <is>
          <t>SKARA</t>
        </is>
      </c>
      <c r="H39" t="inlineStr">
        <is>
          <t>Kommuner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44856</v>
      </c>
      <c r="E40" s="1" t="n">
        <v>46315</v>
      </c>
      <c r="F40" t="inlineStr">
        <is>
          <t>VÄSTRA GÖTALANDS LÄN</t>
        </is>
      </c>
      <c r="G40" t="inlineStr">
        <is>
          <t>SKARA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46315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65124-2023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46315</v>
      </c>
      <c r="F42" t="inlineStr">
        <is>
          <t>VÄSTRA GÖTALANDS LÄN</t>
        </is>
      </c>
      <c r="G42" t="inlineStr">
        <is>
          <t>SKARA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45469</v>
      </c>
      <c r="E43" s="1" t="n">
        <v>46315</v>
      </c>
      <c r="F43" t="inlineStr">
        <is>
          <t>VÄSTRA GÖTALANDS LÄN</t>
        </is>
      </c>
      <c r="G43" t="inlineStr">
        <is>
          <t>SKARA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60654-2021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46315</v>
      </c>
      <c r="F44" t="inlineStr">
        <is>
          <t>VÄSTRA GÖTALANDS LÄN</t>
        </is>
      </c>
      <c r="G44" t="inlineStr">
        <is>
          <t>SKARA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46315</v>
      </c>
      <c r="F45" t="inlineStr">
        <is>
          <t>VÄSTRA GÖTALANDS LÄN</t>
        </is>
      </c>
      <c r="G45" t="inlineStr">
        <is>
          <t>SKARA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26575-2024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46315</v>
      </c>
      <c r="F46" t="inlineStr">
        <is>
          <t>VÄSTRA GÖTALANDS LÄN</t>
        </is>
      </c>
      <c r="G46" t="inlineStr">
        <is>
          <t>SKARA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46315</v>
      </c>
      <c r="F47" t="inlineStr">
        <is>
          <t>VÄSTRA GÖTALANDS LÄN</t>
        </is>
      </c>
      <c r="G47" t="inlineStr">
        <is>
          <t>SKARA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25176-2023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45086</v>
      </c>
      <c r="E48" s="1" t="n">
        <v>46315</v>
      </c>
      <c r="F48" t="inlineStr">
        <is>
          <t>VÄSTRA GÖTALANDS LÄN</t>
        </is>
      </c>
      <c r="G48" t="inlineStr">
        <is>
          <t>SKARA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46315</v>
      </c>
      <c r="F49" t="inlineStr">
        <is>
          <t>VÄSTRA GÖTALANDS LÄN</t>
        </is>
      </c>
      <c r="G49" t="inlineStr">
        <is>
          <t>SKARA</t>
        </is>
      </c>
      <c r="H49" t="inlineStr">
        <is>
          <t>Sveaskog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46315</v>
      </c>
      <c r="F50" t="inlineStr">
        <is>
          <t>VÄSTRA GÖTALANDS LÄN</t>
        </is>
      </c>
      <c r="G50" t="inlineStr">
        <is>
          <t>SKARA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7946-2023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44973</v>
      </c>
      <c r="E51" s="1" t="n">
        <v>46315</v>
      </c>
      <c r="F51" t="inlineStr">
        <is>
          <t>VÄSTRA GÖTALANDS LÄN</t>
        </is>
      </c>
      <c r="G51" t="inlineStr">
        <is>
          <t>SKARA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46315</v>
      </c>
      <c r="F52" t="inlineStr">
        <is>
          <t>VÄSTRA GÖTALANDS LÄN</t>
        </is>
      </c>
      <c r="G52" t="inlineStr">
        <is>
          <t>SKARA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45554</v>
      </c>
      <c r="E53" s="1" t="n">
        <v>46315</v>
      </c>
      <c r="F53" t="inlineStr">
        <is>
          <t>VÄSTRA GÖTALANDS LÄN</t>
        </is>
      </c>
      <c r="G53" t="inlineStr">
        <is>
          <t>SKARA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45408</v>
      </c>
      <c r="E54" s="1" t="n">
        <v>46315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46315</v>
      </c>
      <c r="F55" t="inlineStr">
        <is>
          <t>VÄSTRA GÖTALANDS LÄN</t>
        </is>
      </c>
      <c r="G55" t="inlineStr">
        <is>
          <t>SKARA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46315</v>
      </c>
      <c r="F56" t="inlineStr">
        <is>
          <t>VÄSTRA GÖTALANDS LÄN</t>
        </is>
      </c>
      <c r="G56" t="inlineStr">
        <is>
          <t>SKARA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45713</v>
      </c>
      <c r="E57" s="1" t="n">
        <v>46315</v>
      </c>
      <c r="F57" t="inlineStr">
        <is>
          <t>VÄSTRA GÖTALANDS LÄN</t>
        </is>
      </c>
      <c r="G57" t="inlineStr">
        <is>
          <t>SKARA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45099</v>
      </c>
      <c r="E58" s="1" t="n">
        <v>46315</v>
      </c>
      <c r="F58" t="inlineStr">
        <is>
          <t>VÄSTRA GÖTALANDS LÄN</t>
        </is>
      </c>
      <c r="G58" t="inlineStr">
        <is>
          <t>SKARA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60840-2021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44497</v>
      </c>
      <c r="E59" s="1" t="n">
        <v>46315</v>
      </c>
      <c r="F59" t="inlineStr">
        <is>
          <t>VÄSTRA GÖTALANDS LÄN</t>
        </is>
      </c>
      <c r="G59" t="inlineStr">
        <is>
          <t>SKARA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44957</v>
      </c>
      <c r="E60" s="1" t="n">
        <v>46315</v>
      </c>
      <c r="F60" t="inlineStr">
        <is>
          <t>VÄSTRA GÖTALANDS LÄN</t>
        </is>
      </c>
      <c r="G60" t="inlineStr">
        <is>
          <t>SKARA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60086-2024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45642</v>
      </c>
      <c r="E61" s="1" t="n">
        <v>46315</v>
      </c>
      <c r="F61" t="inlineStr">
        <is>
          <t>VÄSTRA GÖTALANDS LÄN</t>
        </is>
      </c>
      <c r="G61" t="inlineStr">
        <is>
          <t>SKARA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44970</v>
      </c>
      <c r="E62" s="1" t="n">
        <v>46315</v>
      </c>
      <c r="F62" t="inlineStr">
        <is>
          <t>VÄSTRA GÖTALANDS LÄN</t>
        </is>
      </c>
      <c r="G62" t="inlineStr">
        <is>
          <t>SKARA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25407-2025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46315</v>
      </c>
      <c r="F63" t="inlineStr">
        <is>
          <t>VÄSTRA GÖTALANDS LÄN</t>
        </is>
      </c>
      <c r="G63" t="inlineStr">
        <is>
          <t>SKARA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45514</v>
      </c>
      <c r="E64" s="1" t="n">
        <v>46315</v>
      </c>
      <c r="F64" t="inlineStr">
        <is>
          <t>VÄSTRA GÖTALANDS LÄN</t>
        </is>
      </c>
      <c r="G64" t="inlineStr">
        <is>
          <t>SKARA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29255-2025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46315</v>
      </c>
      <c r="F65" t="inlineStr">
        <is>
          <t>VÄSTRA GÖTALANDS LÄN</t>
        </is>
      </c>
      <c r="G65" t="inlineStr">
        <is>
          <t>SKARA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46315</v>
      </c>
      <c r="F66" t="inlineStr">
        <is>
          <t>VÄSTRA GÖTALANDS LÄN</t>
        </is>
      </c>
      <c r="G66" t="inlineStr">
        <is>
          <t>SKARA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46315</v>
      </c>
      <c r="F67" t="inlineStr">
        <is>
          <t>VÄSTRA GÖTALANDS LÄN</t>
        </is>
      </c>
      <c r="G67" t="inlineStr">
        <is>
          <t>SKARA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46315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46315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46315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46315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45699</v>
      </c>
      <c r="E72" s="1" t="n">
        <v>46315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10827-2023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44990</v>
      </c>
      <c r="E73" s="1" t="n">
        <v>46315</v>
      </c>
      <c r="F73" t="inlineStr">
        <is>
          <t>VÄSTRA GÖTALANDS LÄN</t>
        </is>
      </c>
      <c r="G73" t="inlineStr">
        <is>
          <t>SKARA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27980-2023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46315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42874-2022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44832</v>
      </c>
      <c r="E75" s="1" t="n">
        <v>46315</v>
      </c>
      <c r="F75" t="inlineStr">
        <is>
          <t>VÄSTRA GÖTALANDS LÄN</t>
        </is>
      </c>
      <c r="G75" t="inlineStr">
        <is>
          <t>SKARA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45091</v>
      </c>
      <c r="E76" s="1" t="n">
        <v>46315</v>
      </c>
      <c r="F76" t="inlineStr">
        <is>
          <t>VÄSTRA GÖTALANDS LÄN</t>
        </is>
      </c>
      <c r="G76" t="inlineStr">
        <is>
          <t>SKARA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45667</v>
      </c>
      <c r="E77" s="1" t="n">
        <v>46315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65095-2023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45288</v>
      </c>
      <c r="E78" s="1" t="n">
        <v>46315</v>
      </c>
      <c r="F78" t="inlineStr">
        <is>
          <t>VÄSTRA GÖTALANDS LÄN</t>
        </is>
      </c>
      <c r="G78" t="inlineStr">
        <is>
          <t>SKARA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46315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46315</v>
      </c>
      <c r="F80" t="inlineStr">
        <is>
          <t>VÄSTRA GÖTALANDS LÄN</t>
        </is>
      </c>
      <c r="G80" t="inlineStr">
        <is>
          <t>SKARA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18739-2023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45043</v>
      </c>
      <c r="E81" s="1" t="n">
        <v>46315</v>
      </c>
      <c r="F81" t="inlineStr">
        <is>
          <t>VÄSTRA GÖTALANDS LÄN</t>
        </is>
      </c>
      <c r="G81" t="inlineStr">
        <is>
          <t>SKARA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46315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46315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46315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46315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47010-2025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46315</v>
      </c>
      <c r="F86" t="inlineStr">
        <is>
          <t>VÄSTRA GÖTALANDS LÄN</t>
        </is>
      </c>
      <c r="G86" t="inlineStr">
        <is>
          <t>SKARA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45180</v>
      </c>
      <c r="E87" s="1" t="n">
        <v>46315</v>
      </c>
      <c r="F87" t="inlineStr">
        <is>
          <t>VÄSTRA GÖTALANDS LÄN</t>
        </is>
      </c>
      <c r="G87" t="inlineStr">
        <is>
          <t>SKARA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45492</v>
      </c>
      <c r="E88" s="1" t="n">
        <v>46315</v>
      </c>
      <c r="F88" t="inlineStr">
        <is>
          <t>VÄSTRA GÖTALANDS LÄN</t>
        </is>
      </c>
      <c r="G88" t="inlineStr">
        <is>
          <t>SKARA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46315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59842-2022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46315</v>
      </c>
      <c r="F90" t="inlineStr">
        <is>
          <t>VÄSTRA GÖTALANDS LÄN</t>
        </is>
      </c>
      <c r="G90" t="inlineStr">
        <is>
          <t>SKARA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45945</v>
      </c>
      <c r="E91" s="1" t="n">
        <v>46315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46315</v>
      </c>
      <c r="F92" t="inlineStr">
        <is>
          <t>VÄSTRA GÖTALANDS LÄN</t>
        </is>
      </c>
      <c r="G92" t="inlineStr">
        <is>
          <t>SKARA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36041-2023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45149</v>
      </c>
      <c r="E93" s="1" t="n">
        <v>46315</v>
      </c>
      <c r="F93" t="inlineStr">
        <is>
          <t>VÄSTRA GÖTALANDS LÄN</t>
        </is>
      </c>
      <c r="G93" t="inlineStr">
        <is>
          <t>SKARA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36045-2023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45149</v>
      </c>
      <c r="E94" s="1" t="n">
        <v>46315</v>
      </c>
      <c r="F94" t="inlineStr">
        <is>
          <t>VÄSTRA GÖTALANDS LÄN</t>
        </is>
      </c>
      <c r="G94" t="inlineStr">
        <is>
          <t>SKARA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30019-2023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45109</v>
      </c>
      <c r="E95" s="1" t="n">
        <v>46315</v>
      </c>
      <c r="F95" t="inlineStr">
        <is>
          <t>VÄSTRA GÖTALANDS LÄN</t>
        </is>
      </c>
      <c r="G95" t="inlineStr">
        <is>
          <t>SKARA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46315</v>
      </c>
      <c r="F96" t="inlineStr">
        <is>
          <t>VÄSTRA GÖTALANDS LÄN</t>
        </is>
      </c>
      <c r="G96" t="inlineStr">
        <is>
          <t>SKARA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46315</v>
      </c>
      <c r="F97" t="inlineStr">
        <is>
          <t>VÄSTRA GÖTALANDS LÄN</t>
        </is>
      </c>
      <c r="G97" t="inlineStr">
        <is>
          <t>SKARA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45958</v>
      </c>
      <c r="E98" s="1" t="n">
        <v>46315</v>
      </c>
      <c r="F98" t="inlineStr">
        <is>
          <t>VÄSTRA GÖTALANDS LÄN</t>
        </is>
      </c>
      <c r="G98" t="inlineStr">
        <is>
          <t>SKARA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46315</v>
      </c>
      <c r="F99" t="inlineStr">
        <is>
          <t>VÄSTRA GÖTALANDS LÄN</t>
        </is>
      </c>
      <c r="G99" t="inlineStr">
        <is>
          <t>SKARA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30479-2023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45111</v>
      </c>
      <c r="E100" s="1" t="n">
        <v>46315</v>
      </c>
      <c r="F100" t="inlineStr">
        <is>
          <t>VÄSTRA GÖTALANDS LÄN</t>
        </is>
      </c>
      <c r="G100" t="inlineStr">
        <is>
          <t>SKARA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46315</v>
      </c>
      <c r="F101" t="inlineStr">
        <is>
          <t>VÄSTRA GÖTALANDS LÄN</t>
        </is>
      </c>
      <c r="G101" t="inlineStr">
        <is>
          <t>SKARA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45309</v>
      </c>
      <c r="E102" s="1" t="n">
        <v>46315</v>
      </c>
      <c r="F102" t="inlineStr">
        <is>
          <t>VÄSTRA GÖTALANDS LÄN</t>
        </is>
      </c>
      <c r="G102" t="inlineStr">
        <is>
          <t>SKARA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30513-2024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45492</v>
      </c>
      <c r="E103" s="1" t="n">
        <v>46315</v>
      </c>
      <c r="F103" t="inlineStr">
        <is>
          <t>VÄSTRA GÖTALANDS LÄN</t>
        </is>
      </c>
      <c r="G103" t="inlineStr">
        <is>
          <t>SKARA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46315</v>
      </c>
      <c r="F104" t="inlineStr">
        <is>
          <t>VÄSTRA GÖTALANDS LÄN</t>
        </is>
      </c>
      <c r="G104" t="inlineStr">
        <is>
          <t>SKARA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46163</v>
      </c>
      <c r="E105" s="1" t="n">
        <v>46315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45175</v>
      </c>
      <c r="E106" s="1" t="n">
        <v>46315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Kommuner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23452-2026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46163</v>
      </c>
      <c r="E107" s="1" t="n">
        <v>46315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46168</v>
      </c>
      <c r="E108" s="1" t="n">
        <v>46315</v>
      </c>
      <c r="F108" t="inlineStr">
        <is>
          <t>VÄSTRA GÖTALANDS LÄN</t>
        </is>
      </c>
      <c r="G108" t="inlineStr">
        <is>
          <t>SKARA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46168</v>
      </c>
      <c r="E109" s="1" t="n">
        <v>46315</v>
      </c>
      <c r="F109" t="inlineStr">
        <is>
          <t>VÄSTRA GÖTALANDS LÄN</t>
        </is>
      </c>
      <c r="G109" t="inlineStr">
        <is>
          <t>SKARA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46315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15927-2023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45022</v>
      </c>
      <c r="E111" s="1" t="n">
        <v>46315</v>
      </c>
      <c r="F111" t="inlineStr">
        <is>
          <t>VÄSTRA GÖTALANDS LÄN</t>
        </is>
      </c>
      <c r="G111" t="inlineStr">
        <is>
          <t>SKARA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45462</v>
      </c>
      <c r="E112" s="1" t="n">
        <v>46315</v>
      </c>
      <c r="F112" t="inlineStr">
        <is>
          <t>VÄSTRA GÖTALANDS LÄN</t>
        </is>
      </c>
      <c r="G112" t="inlineStr">
        <is>
          <t>SKARA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46315</v>
      </c>
      <c r="F113" t="inlineStr">
        <is>
          <t>VÄSTRA GÖTALANDS LÄN</t>
        </is>
      </c>
      <c r="G113" t="inlineStr">
        <is>
          <t>SKARA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45469</v>
      </c>
      <c r="E114" s="1" t="n">
        <v>46315</v>
      </c>
      <c r="F114" t="inlineStr">
        <is>
          <t>VÄSTRA GÖTALANDS LÄN</t>
        </is>
      </c>
      <c r="G114" t="inlineStr">
        <is>
          <t>SKARA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46168</v>
      </c>
      <c r="E115" s="1" t="n">
        <v>46315</v>
      </c>
      <c r="F115" t="inlineStr">
        <is>
          <t>VÄSTRA GÖTALANDS LÄN</t>
        </is>
      </c>
      <c r="G115" t="inlineStr">
        <is>
          <t>SKARA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46315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Kyrkan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45713</v>
      </c>
      <c r="E117" s="1" t="n">
        <v>46315</v>
      </c>
      <c r="F117" t="inlineStr">
        <is>
          <t>VÄSTRA GÖTALANDS LÄN</t>
        </is>
      </c>
      <c r="G117" t="inlineStr">
        <is>
          <t>SKARA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46185-2023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46315</v>
      </c>
      <c r="F118" t="inlineStr">
        <is>
          <t>VÄSTRA GÖTALANDS LÄN</t>
        </is>
      </c>
      <c r="G118" t="inlineStr">
        <is>
          <t>SKARA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46315</v>
      </c>
      <c r="F119" t="inlineStr">
        <is>
          <t>VÄSTRA GÖTALANDS LÄN</t>
        </is>
      </c>
      <c r="G119" t="inlineStr">
        <is>
          <t>SKARA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45091</v>
      </c>
      <c r="E120" s="1" t="n">
        <v>46315</v>
      </c>
      <c r="F120" t="inlineStr">
        <is>
          <t>VÄSTRA GÖTALANDS LÄN</t>
        </is>
      </c>
      <c r="G120" t="inlineStr">
        <is>
          <t>SKARA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46315</v>
      </c>
      <c r="F121" t="inlineStr">
        <is>
          <t>VÄSTRA GÖTALANDS LÄN</t>
        </is>
      </c>
      <c r="G121" t="inlineStr">
        <is>
          <t>SKARA</t>
        </is>
      </c>
      <c r="I121" t="n">
        <v>8.4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7530-2026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46315</v>
      </c>
      <c r="F122" t="inlineStr">
        <is>
          <t>VÄSTRA GÖTALANDS LÄN</t>
        </is>
      </c>
      <c r="G122" t="inlineStr">
        <is>
          <t>SKARA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46315</v>
      </c>
      <c r="F123" t="inlineStr">
        <is>
          <t>VÄSTRA GÖTALANDS LÄN</t>
        </is>
      </c>
      <c r="G123" t="inlineStr">
        <is>
          <t>SKARA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18017-2024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45420</v>
      </c>
      <c r="E124" s="1" t="n">
        <v>46315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Sveaskog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46182</v>
      </c>
      <c r="E125" s="1" t="n">
        <v>46315</v>
      </c>
      <c r="F125" t="inlineStr">
        <is>
          <t>VÄSTRA GÖTALANDS LÄN</t>
        </is>
      </c>
      <c r="G125" t="inlineStr">
        <is>
          <t>SKARA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9691-2026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46072</v>
      </c>
      <c r="E126" s="1" t="n">
        <v>46315</v>
      </c>
      <c r="F126" t="inlineStr">
        <is>
          <t>VÄSTRA GÖTALANDS LÄN</t>
        </is>
      </c>
      <c r="G126" t="inlineStr">
        <is>
          <t>SKARA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44701</v>
      </c>
      <c r="E127" s="1" t="n">
        <v>46315</v>
      </c>
      <c r="F127" t="inlineStr">
        <is>
          <t>VÄSTRA GÖTALANDS LÄN</t>
        </is>
      </c>
      <c r="G127" t="inlineStr">
        <is>
          <t>SKARA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44698</v>
      </c>
      <c r="E128" s="1" t="n">
        <v>46315</v>
      </c>
      <c r="F128" t="inlineStr">
        <is>
          <t>VÄSTRA GÖTALANDS LÄN</t>
        </is>
      </c>
      <c r="G128" t="inlineStr">
        <is>
          <t>SKARA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12332-2026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46087</v>
      </c>
      <c r="E129" s="1" t="n">
        <v>46315</v>
      </c>
      <c r="F129" t="inlineStr">
        <is>
          <t>VÄSTRA GÖTALANDS LÄN</t>
        </is>
      </c>
      <c r="G129" t="inlineStr">
        <is>
          <t>SKARA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27478-2026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46189</v>
      </c>
      <c r="E130" s="1" t="n">
        <v>46315</v>
      </c>
      <c r="F130" t="inlineStr">
        <is>
          <t>VÄSTRA GÖTALANDS LÄN</t>
        </is>
      </c>
      <c r="G130" t="inlineStr">
        <is>
          <t>SKARA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13276-2026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46315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46315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14597-2026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46101</v>
      </c>
      <c r="E133" s="1" t="n">
        <v>46315</v>
      </c>
      <c r="F133" t="inlineStr">
        <is>
          <t>VÄSTRA GÖTALANDS LÄN</t>
        </is>
      </c>
      <c r="G133" t="inlineStr">
        <is>
          <t>SKARA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46315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46315</v>
      </c>
      <c r="F135" t="inlineStr">
        <is>
          <t>VÄSTRA GÖTALANDS LÄN</t>
        </is>
      </c>
      <c r="G135" t="inlineStr">
        <is>
          <t>SKARA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46315</v>
      </c>
      <c r="F136" t="inlineStr">
        <is>
          <t>VÄSTRA GÖTALANDS LÄN</t>
        </is>
      </c>
      <c r="G136" t="inlineStr">
        <is>
          <t>SKARA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46315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45313</v>
      </c>
      <c r="E138" s="1" t="n">
        <v>46315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46315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46315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16085-2026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46108</v>
      </c>
      <c r="E141" s="1" t="n">
        <v>46315</v>
      </c>
      <c r="F141" t="inlineStr">
        <is>
          <t>VÄSTRA GÖTALANDS LÄN</t>
        </is>
      </c>
      <c r="G141" t="inlineStr">
        <is>
          <t>SKARA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46315</v>
      </c>
      <c r="F142" t="inlineStr">
        <is>
          <t>VÄSTRA GÖTALANDS LÄN</t>
        </is>
      </c>
      <c r="G142" t="inlineStr">
        <is>
          <t>SKARA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46315</v>
      </c>
      <c r="F143" t="inlineStr">
        <is>
          <t>VÄSTRA GÖTALANDS LÄN</t>
        </is>
      </c>
      <c r="G143" t="inlineStr">
        <is>
          <t>SKARA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46315</v>
      </c>
      <c r="F144" t="inlineStr">
        <is>
          <t>VÄSTRA GÖTALANDS LÄN</t>
        </is>
      </c>
      <c r="G144" t="inlineStr">
        <is>
          <t>SKARA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46315</v>
      </c>
      <c r="F145" t="inlineStr">
        <is>
          <t>VÄSTRA GÖTALANDS LÄN</t>
        </is>
      </c>
      <c r="G145" t="inlineStr">
        <is>
          <t>SKARA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46113</v>
      </c>
      <c r="E146" s="1" t="n">
        <v>46315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46315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17288-2026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46315</v>
      </c>
      <c r="F148" t="inlineStr">
        <is>
          <t>VÄSTRA GÖTALANDS LÄN</t>
        </is>
      </c>
      <c r="G148" t="inlineStr">
        <is>
          <t>SKARA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45539</v>
      </c>
      <c r="E149" s="1" t="n">
        <v>46315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18701-2022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44687</v>
      </c>
      <c r="E150" s="1" t="n">
        <v>46315</v>
      </c>
      <c r="F150" t="inlineStr">
        <is>
          <t>VÄSTRA GÖTALANDS LÄN</t>
        </is>
      </c>
      <c r="G150" t="inlineStr">
        <is>
          <t>SKARA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45196</v>
      </c>
      <c r="E151" s="1" t="n">
        <v>46315</v>
      </c>
      <c r="F151" t="inlineStr">
        <is>
          <t>VÄSTRA GÖTALANDS LÄN</t>
        </is>
      </c>
      <c r="G151" t="inlineStr">
        <is>
          <t>SKARA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41562-2022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46315</v>
      </c>
      <c r="F152" t="inlineStr">
        <is>
          <t>VÄSTRA GÖTALANDS LÄN</t>
        </is>
      </c>
      <c r="G152" t="inlineStr">
        <is>
          <t>SKARA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45314</v>
      </c>
      <c r="E153" s="1" t="n">
        <v>46315</v>
      </c>
      <c r="F153" t="inlineStr">
        <is>
          <t>VÄSTRA GÖTALANDS LÄN</t>
        </is>
      </c>
      <c r="G153" t="inlineStr">
        <is>
          <t>SKARA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18890-2026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46129</v>
      </c>
      <c r="E154" s="1" t="n">
        <v>46315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46315</v>
      </c>
      <c r="F155" t="inlineStr">
        <is>
          <t>VÄSTRA GÖTALANDS LÄN</t>
        </is>
      </c>
      <c r="G155" t="inlineStr">
        <is>
          <t>SKARA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46315</v>
      </c>
      <c r="F156" t="inlineStr">
        <is>
          <t>VÄSTRA GÖTALANDS LÄN</t>
        </is>
      </c>
      <c r="G156" t="inlineStr">
        <is>
          <t>SKARA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44909</v>
      </c>
      <c r="E157" s="1" t="n">
        <v>46315</v>
      </c>
      <c r="F157" t="inlineStr">
        <is>
          <t>VÄSTRA GÖTALANDS LÄN</t>
        </is>
      </c>
      <c r="G157" t="inlineStr">
        <is>
          <t>SKARA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46315</v>
      </c>
      <c r="F158" t="inlineStr">
        <is>
          <t>VÄSTRA GÖTALANDS LÄN</t>
        </is>
      </c>
      <c r="G158" t="inlineStr">
        <is>
          <t>SKARA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44995</v>
      </c>
      <c r="E159" s="1" t="n">
        <v>46315</v>
      </c>
      <c r="F159" t="inlineStr">
        <is>
          <t>VÄSTRA GÖTALANDS LÄN</t>
        </is>
      </c>
      <c r="G159" t="inlineStr">
        <is>
          <t>SKARA</t>
        </is>
      </c>
      <c r="I159" t="n">
        <v>13.5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44887</v>
      </c>
      <c r="E160" s="1" t="n">
        <v>46315</v>
      </c>
      <c r="F160" t="inlineStr">
        <is>
          <t>VÄSTRA GÖTALANDS LÄN</t>
        </is>
      </c>
      <c r="G160" t="inlineStr">
        <is>
          <t>SKARA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46315</v>
      </c>
      <c r="F161" t="inlineStr">
        <is>
          <t>VÄSTRA GÖTALANDS LÄN</t>
        </is>
      </c>
      <c r="G161" t="inlineStr">
        <is>
          <t>SKARA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46315</v>
      </c>
      <c r="F162" t="inlineStr">
        <is>
          <t>VÄSTRA GÖTALANDS LÄN</t>
        </is>
      </c>
      <c r="G162" t="inlineStr">
        <is>
          <t>SKARA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46315</v>
      </c>
      <c r="F163" t="inlineStr">
        <is>
          <t>VÄSTRA GÖTALANDS LÄN</t>
        </is>
      </c>
      <c r="G163" t="inlineStr">
        <is>
          <t>SKARA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38205-2022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46315</v>
      </c>
      <c r="F164" t="inlineStr">
        <is>
          <t>VÄSTRA GÖTALANDS LÄN</t>
        </is>
      </c>
      <c r="G164" t="inlineStr">
        <is>
          <t>SKARA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34569-2023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45140</v>
      </c>
      <c r="E165" s="1" t="n">
        <v>46315</v>
      </c>
      <c r="F165" t="inlineStr">
        <is>
          <t>VÄSTRA GÖTALANDS LÄN</t>
        </is>
      </c>
      <c r="G165" t="inlineStr">
        <is>
          <t>SKARA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44995</v>
      </c>
      <c r="E166" s="1" t="n">
        <v>46315</v>
      </c>
      <c r="F166" t="inlineStr">
        <is>
          <t>VÄSTRA GÖTALANDS LÄN</t>
        </is>
      </c>
      <c r="G166" t="inlineStr">
        <is>
          <t>SKARA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45224</v>
      </c>
      <c r="E167" s="1" t="n">
        <v>46315</v>
      </c>
      <c r="F167" t="inlineStr">
        <is>
          <t>VÄSTRA GÖTALANDS LÄN</t>
        </is>
      </c>
      <c r="G167" t="inlineStr">
        <is>
          <t>SKARA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46203</v>
      </c>
      <c r="E168" s="1" t="n">
        <v>46315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Kyrkan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24144-2026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46168</v>
      </c>
      <c r="E169" s="1" t="n">
        <v>46315</v>
      </c>
      <c r="F169" t="inlineStr">
        <is>
          <t>VÄSTRA GÖTALANDS LÄN</t>
        </is>
      </c>
      <c r="G169" t="inlineStr">
        <is>
          <t>SKARA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46315</v>
      </c>
      <c r="F170" t="inlineStr">
        <is>
          <t>VÄSTRA GÖTALANDS LÄN</t>
        </is>
      </c>
      <c r="G170" t="inlineStr">
        <is>
          <t>SKARA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44937</v>
      </c>
      <c r="E171" s="1" t="n">
        <v>46315</v>
      </c>
      <c r="F171" t="inlineStr">
        <is>
          <t>VÄSTRA GÖTALANDS LÄN</t>
        </is>
      </c>
      <c r="G171" t="inlineStr">
        <is>
          <t>SKARA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35217-2023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46315</v>
      </c>
      <c r="F172" t="inlineStr">
        <is>
          <t>VÄSTRA GÖTALANDS LÄN</t>
        </is>
      </c>
      <c r="G172" t="inlineStr">
        <is>
          <t>SKARA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45435</v>
      </c>
      <c r="E173" s="1" t="n">
        <v>46315</v>
      </c>
      <c r="F173" t="inlineStr">
        <is>
          <t>VÄSTRA GÖTALANDS LÄN</t>
        </is>
      </c>
      <c r="G173" t="inlineStr">
        <is>
          <t>SKARA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44642</v>
      </c>
      <c r="E174" s="1" t="n">
        <v>46315</v>
      </c>
      <c r="F174" t="inlineStr">
        <is>
          <t>VÄSTRA GÖTALANDS LÄN</t>
        </is>
      </c>
      <c r="G174" t="inlineStr">
        <is>
          <t>SKARA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38007-2026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46280</v>
      </c>
      <c r="E175" s="1" t="n">
        <v>46315</v>
      </c>
      <c r="F175" t="inlineStr">
        <is>
          <t>VÄSTRA GÖTALANDS LÄN</t>
        </is>
      </c>
      <c r="G175" t="inlineStr">
        <is>
          <t>SKARA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45091</v>
      </c>
      <c r="E176" s="1" t="n">
        <v>46315</v>
      </c>
      <c r="F176" t="inlineStr">
        <is>
          <t>VÄSTRA GÖTALANDS LÄN</t>
        </is>
      </c>
      <c r="G176" t="inlineStr">
        <is>
          <t>SKARA</t>
        </is>
      </c>
      <c r="I176" t="n">
        <v>21.6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45224</v>
      </c>
      <c r="E177" s="1" t="n">
        <v>46315</v>
      </c>
      <c r="F177" t="inlineStr">
        <is>
          <t>VÄSTRA GÖTALANDS LÄN</t>
        </is>
      </c>
      <c r="G177" t="inlineStr">
        <is>
          <t>SKARA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46315</v>
      </c>
      <c r="F178" t="inlineStr">
        <is>
          <t>VÄSTRA GÖTALANDS LÄN</t>
        </is>
      </c>
      <c r="G178" t="inlineStr">
        <is>
          <t>SKARA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46315</v>
      </c>
      <c r="F179" t="inlineStr">
        <is>
          <t>VÄSTRA GÖTALANDS LÄN</t>
        </is>
      </c>
      <c r="G179" t="inlineStr">
        <is>
          <t>SKARA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46315</v>
      </c>
      <c r="F180" t="inlineStr">
        <is>
          <t>VÄSTRA GÖTALANDS LÄN</t>
        </is>
      </c>
      <c r="G180" t="inlineStr">
        <is>
          <t>SKARA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45299</v>
      </c>
      <c r="E181" s="1" t="n">
        <v>46315</v>
      </c>
      <c r="F181" t="inlineStr">
        <is>
          <t>VÄSTRA GÖTALANDS LÄN</t>
        </is>
      </c>
      <c r="G181" t="inlineStr">
        <is>
          <t>SKARA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46288</v>
      </c>
      <c r="E182" s="1" t="n">
        <v>46315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39265-2026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46288</v>
      </c>
      <c r="E183" s="1" t="n">
        <v>46315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46315</v>
      </c>
      <c r="F184" t="inlineStr">
        <is>
          <t>VÄSTRA GÖTALANDS LÄN</t>
        </is>
      </c>
      <c r="G184" t="inlineStr">
        <is>
          <t>SKARA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44887</v>
      </c>
      <c r="E185" s="1" t="n">
        <v>46315</v>
      </c>
      <c r="F185" t="inlineStr">
        <is>
          <t>VÄSTRA GÖTALANDS LÄN</t>
        </is>
      </c>
      <c r="G185" t="inlineStr">
        <is>
          <t>SKARA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46290</v>
      </c>
      <c r="E186" s="1" t="n">
        <v>46315</v>
      </c>
      <c r="F186" t="inlineStr">
        <is>
          <t>VÄSTRA GÖTALANDS LÄN</t>
        </is>
      </c>
      <c r="G186" t="inlineStr">
        <is>
          <t>SKARA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27668-2022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44743</v>
      </c>
      <c r="E187" s="1" t="n">
        <v>46315</v>
      </c>
      <c r="F187" t="inlineStr">
        <is>
          <t>VÄSTRA GÖTALANDS LÄN</t>
        </is>
      </c>
      <c r="G187" t="inlineStr">
        <is>
          <t>SKARA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46246</v>
      </c>
      <c r="E188" s="1" t="n">
        <v>46315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46247</v>
      </c>
      <c r="E189" s="1" t="n">
        <v>46315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46246</v>
      </c>
      <c r="E190" s="1" t="n">
        <v>46315</v>
      </c>
      <c r="F190" t="inlineStr">
        <is>
          <t>VÄSTRA GÖTALANDS LÄN</t>
        </is>
      </c>
      <c r="G190" t="inlineStr">
        <is>
          <t>SKARA</t>
        </is>
      </c>
      <c r="H190" t="inlineStr">
        <is>
          <t>Kyrkan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46294</v>
      </c>
      <c r="E191" s="1" t="n">
        <v>46315</v>
      </c>
      <c r="F191" t="inlineStr">
        <is>
          <t>VÄSTRA GÖTALANDS LÄN</t>
        </is>
      </c>
      <c r="G191" t="inlineStr">
        <is>
          <t>SKARA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46315</v>
      </c>
      <c r="F192" t="inlineStr">
        <is>
          <t>VÄSTRA GÖTALANDS LÄN</t>
        </is>
      </c>
      <c r="G192" t="inlineStr">
        <is>
          <t>SKARA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46315</v>
      </c>
      <c r="F193" t="inlineStr">
        <is>
          <t>VÄSTRA GÖTALANDS LÄN</t>
        </is>
      </c>
      <c r="G193" t="inlineStr">
        <is>
          <t>SKARA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40286-2026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46294</v>
      </c>
      <c r="E194" s="1" t="n">
        <v>46315</v>
      </c>
      <c r="F194" t="inlineStr">
        <is>
          <t>VÄSTRA GÖTALANDS LÄN</t>
        </is>
      </c>
      <c r="G194" t="inlineStr">
        <is>
          <t>SKARA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40319-2026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46294</v>
      </c>
      <c r="E195" s="1" t="n">
        <v>46315</v>
      </c>
      <c r="F195" t="inlineStr">
        <is>
          <t>VÄSTRA GÖTALANDS LÄN</t>
        </is>
      </c>
      <c r="G195" t="inlineStr">
        <is>
          <t>SKARA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46315</v>
      </c>
      <c r="F196" t="inlineStr">
        <is>
          <t>VÄSTRA GÖTALANDS LÄN</t>
        </is>
      </c>
      <c r="G196" t="inlineStr">
        <is>
          <t>SKARA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40366-2026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46294</v>
      </c>
      <c r="E197" s="1" t="n">
        <v>46315</v>
      </c>
      <c r="F197" t="inlineStr">
        <is>
          <t>VÄSTRA GÖTALANDS LÄN</t>
        </is>
      </c>
      <c r="G197" t="inlineStr">
        <is>
          <t>SKARA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46315</v>
      </c>
      <c r="F198" t="inlineStr">
        <is>
          <t>VÄSTRA GÖTALANDS LÄN</t>
        </is>
      </c>
      <c r="G198" t="inlineStr">
        <is>
          <t>SKARA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46294</v>
      </c>
      <c r="E199" s="1" t="n">
        <v>46315</v>
      </c>
      <c r="F199" t="inlineStr">
        <is>
          <t>VÄSTRA GÖTALANDS LÄN</t>
        </is>
      </c>
      <c r="G199" t="inlineStr">
        <is>
          <t>SKARA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46315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46315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2590-2024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45313</v>
      </c>
      <c r="E202" s="1" t="n">
        <v>46315</v>
      </c>
      <c r="F202" t="inlineStr">
        <is>
          <t>VÄSTRA GÖTALANDS LÄN</t>
        </is>
      </c>
      <c r="G202" t="inlineStr">
        <is>
          <t>SKARA</t>
        </is>
      </c>
      <c r="I202" t="n">
        <v>11.7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45639</v>
      </c>
      <c r="E203" s="1" t="n">
        <v>46315</v>
      </c>
      <c r="F203" t="inlineStr">
        <is>
          <t>VÄSTRA GÖTALANDS LÄN</t>
        </is>
      </c>
      <c r="G203" t="inlineStr">
        <is>
          <t>SKARA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41260-2026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46300</v>
      </c>
      <c r="E204" s="1" t="n">
        <v>46315</v>
      </c>
      <c r="F204" t="inlineStr">
        <is>
          <t>VÄSTRA GÖTALANDS LÄN</t>
        </is>
      </c>
      <c r="G204" t="inlineStr">
        <is>
          <t>SKARA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49435-2024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45595</v>
      </c>
      <c r="E205" s="1" t="n">
        <v>46315</v>
      </c>
      <c r="F205" t="inlineStr">
        <is>
          <t>VÄSTRA GÖTALANDS LÄN</t>
        </is>
      </c>
      <c r="G205" t="inlineStr">
        <is>
          <t>SKARA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46315</v>
      </c>
      <c r="F206" t="inlineStr">
        <is>
          <t>VÄSTRA GÖTALANDS LÄN</t>
        </is>
      </c>
      <c r="G206" t="inlineStr">
        <is>
          <t>SKARA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46258</v>
      </c>
      <c r="E207" s="1" t="n">
        <v>46315</v>
      </c>
      <c r="F207" t="inlineStr">
        <is>
          <t>VÄSTRA GÖTALANDS LÄN</t>
        </is>
      </c>
      <c r="G207" t="inlineStr">
        <is>
          <t>SKARA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46281</v>
      </c>
      <c r="E208" s="1" t="n">
        <v>46315</v>
      </c>
      <c r="F208" t="inlineStr">
        <is>
          <t>VÄSTRA GÖTALANDS LÄN</t>
        </is>
      </c>
      <c r="G208" t="inlineStr">
        <is>
          <t>SKARA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46281</v>
      </c>
      <c r="E209" s="1" t="n">
        <v>46315</v>
      </c>
      <c r="F209" t="inlineStr">
        <is>
          <t>VÄSTRA GÖTALANDS LÄN</t>
        </is>
      </c>
      <c r="G209" t="inlineStr">
        <is>
          <t>SKARA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46315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46315</v>
      </c>
      <c r="F211" t="inlineStr">
        <is>
          <t>VÄSTRA GÖTALANDS LÄN</t>
        </is>
      </c>
      <c r="G211" t="inlineStr">
        <is>
          <t>SKARA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44946</v>
      </c>
      <c r="E212" s="1" t="n">
        <v>46315</v>
      </c>
      <c r="F212" t="inlineStr">
        <is>
          <t>VÄSTRA GÖTALANDS LÄN</t>
        </is>
      </c>
      <c r="G212" t="inlineStr">
        <is>
          <t>SKARA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45820</v>
      </c>
      <c r="E213" s="1" t="n">
        <v>46315</v>
      </c>
      <c r="F213" t="inlineStr">
        <is>
          <t>VÄSTRA GÖTALANDS LÄN</t>
        </is>
      </c>
      <c r="G213" t="inlineStr">
        <is>
          <t>SKARA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46315</v>
      </c>
      <c r="F214" t="inlineStr">
        <is>
          <t>VÄSTRA GÖTALANDS LÄN</t>
        </is>
      </c>
      <c r="G214" t="inlineStr">
        <is>
          <t>SKARA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46315</v>
      </c>
      <c r="F215" t="inlineStr">
        <is>
          <t>VÄSTRA GÖTALANDS LÄN</t>
        </is>
      </c>
      <c r="G215" t="inlineStr">
        <is>
          <t>SKARA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46315</v>
      </c>
      <c r="F216" t="inlineStr">
        <is>
          <t>VÄSTRA GÖTALANDS LÄN</t>
        </is>
      </c>
      <c r="G216" t="inlineStr">
        <is>
          <t>SKARA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46315</v>
      </c>
      <c r="F217" t="inlineStr">
        <is>
          <t>VÄSTRA GÖTALANDS LÄN</t>
        </is>
      </c>
      <c r="G217" t="inlineStr">
        <is>
          <t>SKARA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45776</v>
      </c>
      <c r="E218" s="1" t="n">
        <v>46315</v>
      </c>
      <c r="F218" t="inlineStr">
        <is>
          <t>VÄSTRA GÖTALANDS LÄN</t>
        </is>
      </c>
      <c r="G218" t="inlineStr">
        <is>
          <t>SKARA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18704-2022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44687</v>
      </c>
      <c r="E219" s="1" t="n">
        <v>46315</v>
      </c>
      <c r="F219" t="inlineStr">
        <is>
          <t>VÄSTRA GÖTALANDS LÄN</t>
        </is>
      </c>
      <c r="G219" t="inlineStr">
        <is>
          <t>SKARA</t>
        </is>
      </c>
      <c r="H219" t="inlineStr">
        <is>
          <t>Kommuner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60233-2023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45258</v>
      </c>
      <c r="E220" s="1" t="n">
        <v>46315</v>
      </c>
      <c r="F220" t="inlineStr">
        <is>
          <t>VÄSTRA GÖTALANDS LÄN</t>
        </is>
      </c>
      <c r="G220" t="inlineStr">
        <is>
          <t>SKARA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46315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46315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2026-10-20T01:49:52Z</dcterms:created>
  <dcterms:modified xmlns:dcterms="http://purl.org/dc/terms/" xmlns:xsi="http://www.w3.org/2001/XMLSchema-instance" xsi:type="dcterms:W3CDTF">2026-10-20T01:49:53Z</dcterms:modified>
</cp:coreProperties>
</file>