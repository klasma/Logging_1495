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1202-2024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45302</v>
      </c>
      <c r="E2" s="1" t="n">
        <v>46316</v>
      </c>
      <c r="F2" t="inlineStr">
        <is>
          <t>VÄSTRA GÖTALANDS LÄN</t>
        </is>
      </c>
      <c r="G2" t="inlineStr">
        <is>
          <t>SKARA</t>
        </is>
      </c>
      <c r="I2" t="n">
        <v>6.7</v>
      </c>
      <c r="J2" t="n">
        <v>2</v>
      </c>
      <c r="K2" t="n">
        <v>3</v>
      </c>
      <c r="L2" t="n">
        <v>1</v>
      </c>
      <c r="M2" t="n">
        <v>0</v>
      </c>
      <c r="N2" t="n">
        <v>2</v>
      </c>
      <c r="O2" t="n">
        <v>0</v>
      </c>
      <c r="P2" t="n">
        <v>0</v>
      </c>
      <c r="Q2" t="n">
        <v>3</v>
      </c>
      <c r="R2" t="n">
        <v>2</v>
      </c>
      <c r="S2" t="n">
        <v>7</v>
      </c>
      <c r="T2" t="n">
        <v>17</v>
      </c>
      <c r="U2" t="n">
        <v>17</v>
      </c>
      <c r="V2" s="2" t="inlineStr">
        <is>
          <t>Ask
Skogsalm
Sårläka
Nästrot
Underviol
Vätteros
Fläcknycklar</t>
        </is>
      </c>
      <c r="W2">
        <f>HYPERLINK("https://klasma.github.io/Logging_1495/artfynd/A 1202-2024 artfynd.xlsx", "A 1202-2024")</f>
        <v/>
      </c>
      <c r="X2">
        <f>HYPERLINK("https://klasma.github.io/Logging_1495/kartor/A 1202-2024 karta.png", "A 1202-2024")</f>
        <v/>
      </c>
      <c r="Y2">
        <f>HYPERLINK("https://klasma.github.io/Logging_1495/kartor_geotiff/A 1202-2024 georefererad karta.tif", "A 1202-2024")</f>
        <v/>
      </c>
      <c r="AA2">
        <f>HYPERLINK("https://klasma.github.io/Logging_1495/klagomål/A 1202-2024 FSC-klagomål.docx", "A 1202-2024")</f>
        <v/>
      </c>
      <c r="AB2">
        <f>HYPERLINK("https://klasma.github.io/Logging_1495/klagomålsmail/A 1202-2024 FSC-klagomål mail.docx", "A 1202-2024")</f>
        <v/>
      </c>
      <c r="AC2">
        <f>HYPERLINK("https://klasma.github.io/Logging_1495/tillsyn/A 1202-2024 tillsynsbegäran.docx", "A 1202-2024")</f>
        <v/>
      </c>
      <c r="AD2">
        <f>HYPERLINK("https://klasma.github.io/Logging_1495/tillsynsmail/A 1202-2024 tillsynsbegäran mail.docx", "A 1202-2024")</f>
        <v/>
      </c>
    </row>
    <row r="3" ht="15" customHeight="1">
      <c r="A3" t="inlineStr">
        <is>
          <t>A 16179-2025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45750</v>
      </c>
      <c r="E3" s="1" t="n">
        <v>46316</v>
      </c>
      <c r="F3" t="inlineStr">
        <is>
          <t>VÄSTRA GÖTALANDS LÄN</t>
        </is>
      </c>
      <c r="G3" t="inlineStr">
        <is>
          <t>SKARA</t>
        </is>
      </c>
      <c r="I3" t="n">
        <v>7.4</v>
      </c>
      <c r="J3" t="n">
        <v>2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5</v>
      </c>
      <c r="T3" t="n">
        <v>5</v>
      </c>
      <c r="U3" t="n">
        <v>4</v>
      </c>
      <c r="V3" s="2" t="inlineStr">
        <is>
          <t>Rosenfink
Ädelguldbagge
Hässleklocka
Lundbräsma
Blåsippa</t>
        </is>
      </c>
      <c r="W3">
        <f>HYPERLINK("https://klasma.github.io/Logging_1495/artfynd/A 16179-2025 artfynd.xlsx", "A 16179-2025")</f>
        <v/>
      </c>
      <c r="X3">
        <f>HYPERLINK("https://klasma.github.io/Logging_1495/kartor/A 16179-2025 karta.png", "A 16179-2025")</f>
        <v/>
      </c>
      <c r="Y3">
        <f>HYPERLINK("https://klasma.github.io/Logging_1495/kartor_geotiff/A 16179-2025 georefererad karta.tif", "A 16179-2025")</f>
        <v/>
      </c>
      <c r="AA3">
        <f>HYPERLINK("https://klasma.github.io/Logging_1495/klagomål/A 16179-2025 FSC-klagomål.docx", "A 16179-2025")</f>
        <v/>
      </c>
      <c r="AB3">
        <f>HYPERLINK("https://klasma.github.io/Logging_1495/klagomålsmail/A 16179-2025 FSC-klagomål mail.docx", "A 16179-2025")</f>
        <v/>
      </c>
      <c r="AC3">
        <f>HYPERLINK("https://klasma.github.io/Logging_1495/tillsyn/A 16179-2025 tillsynsbegäran.docx", "A 16179-2025")</f>
        <v/>
      </c>
      <c r="AD3">
        <f>HYPERLINK("https://klasma.github.io/Logging_1495/tillsynsmail/A 16179-2025 tillsynsbegäran mail.docx", "A 16179-2025")</f>
        <v/>
      </c>
      <c r="AE3">
        <f>HYPERLINK("https://klasma.github.io/Logging_1495/fåglar/A 16179-2025 prioriterade fågelarter.docx", "A 16179-2025")</f>
        <v/>
      </c>
    </row>
    <row r="4" ht="15" customHeight="1">
      <c r="A4" t="inlineStr">
        <is>
          <t>S 258-2026</t>
        </is>
      </c>
      <c r="B4" t="inlineStr">
        <is>
          <t>samrådsanmälan</t>
        </is>
      </c>
      <c r="C4" t="inlineStr">
        <is>
          <t>Askåterföring</t>
        </is>
      </c>
      <c r="D4" s="1" t="n">
        <v>46052</v>
      </c>
      <c r="E4" s="1" t="n">
        <v>46316</v>
      </c>
      <c r="F4" t="inlineStr">
        <is>
          <t>VÄSTRA GÖTALANDS LÄN</t>
        </is>
      </c>
      <c r="G4" t="inlineStr">
        <is>
          <t>SKARA</t>
        </is>
      </c>
      <c r="H4" t="inlineStr">
        <is>
          <t>Sveaskog</t>
        </is>
      </c>
      <c r="I4" t="n">
        <v>116.1</v>
      </c>
      <c r="J4" t="n">
        <v>2</v>
      </c>
      <c r="K4" t="n">
        <v>0</v>
      </c>
      <c r="L4" t="n">
        <v>2</v>
      </c>
      <c r="M4" t="n">
        <v>1</v>
      </c>
      <c r="N4" t="n">
        <v>1</v>
      </c>
      <c r="O4" t="n">
        <v>0</v>
      </c>
      <c r="P4" t="n">
        <v>0</v>
      </c>
      <c r="Q4" t="n">
        <v>4</v>
      </c>
      <c r="R4" t="n">
        <v>2</v>
      </c>
      <c r="S4" t="n">
        <v>5</v>
      </c>
      <c r="T4" t="n">
        <v>5</v>
      </c>
      <c r="U4" t="n">
        <v>3</v>
      </c>
      <c r="V4" s="2" t="inlineStr">
        <is>
          <t>Ask
Sexfläckig bastardsvärmare
Sädesärla
Ängsmetallvinge
Vanlig snok</t>
        </is>
      </c>
      <c r="W4">
        <f>HYPERLINK("https://klasma.github.io/Logging_1495/artfynd/S 258-2026 artfynd.xlsx", "S 258-2026")</f>
        <v/>
      </c>
      <c r="X4">
        <f>HYPERLINK("https://klasma.github.io/Logging_1495/kartor/S 258-2026 karta.png", "S 258-2026")</f>
        <v/>
      </c>
      <c r="Y4">
        <f>HYPERLINK("https://klasma.github.io/Logging_1495/kartor_geotiff/S 258-2026 georefererad karta.tif", "S 258-2026")</f>
        <v/>
      </c>
      <c r="AA4">
        <f>HYPERLINK("https://klasma.github.io/Logging_1495/klagomål/S 258-2026 FSC-klagomål.docx", "S 258-2026")</f>
        <v/>
      </c>
      <c r="AB4">
        <f>HYPERLINK("https://klasma.github.io/Logging_1495/klagomålsmail/S 258-2026 FSC-klagomål mail.docx", "S 258-2026")</f>
        <v/>
      </c>
      <c r="AC4">
        <f>HYPERLINK("https://klasma.github.io/Logging_1495/tillsyn/S 258-2026 tillsynsbegäran.docx", "S 258-2026")</f>
        <v/>
      </c>
      <c r="AD4">
        <f>HYPERLINK("https://klasma.github.io/Logging_1495/tillsynsmail/S 258-2026 tillsynsbegäran mail.docx", "S 258-2026")</f>
        <v/>
      </c>
      <c r="AE4">
        <f>HYPERLINK("https://klasma.github.io/Logging_1495/fåglar/S 258-2026 prioriterade fågelarter.docx", "S 258-2026")</f>
        <v/>
      </c>
    </row>
    <row r="5" ht="15" customHeight="1">
      <c r="A5" t="inlineStr">
        <is>
          <t>A 33610-2025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45841</v>
      </c>
      <c r="E5" s="1" t="n">
        <v>46316</v>
      </c>
      <c r="F5" t="inlineStr">
        <is>
          <t>VÄSTRA GÖTALANDS LÄN</t>
        </is>
      </c>
      <c r="G5" t="inlineStr">
        <is>
          <t>SKARA</t>
        </is>
      </c>
      <c r="I5" t="n">
        <v>11.2</v>
      </c>
      <c r="J5" t="n">
        <v>1</v>
      </c>
      <c r="K5" t="n">
        <v>1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2</v>
      </c>
      <c r="R5" t="n">
        <v>2</v>
      </c>
      <c r="S5" t="n">
        <v>4</v>
      </c>
      <c r="T5" t="n">
        <v>5</v>
      </c>
      <c r="U5" t="n">
        <v>0</v>
      </c>
      <c r="V5" s="2" t="inlineStr">
        <is>
          <t>Ask
Skogsalm
Lundbräsma
Blåsippa</t>
        </is>
      </c>
      <c r="W5">
        <f>HYPERLINK("https://klasma.github.io/Logging_1495/artfynd/A 33610-2025 artfynd.xlsx", "A 33610-2025")</f>
        <v/>
      </c>
      <c r="X5">
        <f>HYPERLINK("https://klasma.github.io/Logging_1495/kartor/A 33610-2025 karta.png", "A 33610-2025")</f>
        <v/>
      </c>
      <c r="Y5">
        <f>HYPERLINK("https://klasma.github.io/Logging_1495/kartor_geotiff/A 33610-2025 georefererad karta.tif", "A 33610-2025")</f>
        <v/>
      </c>
      <c r="AA5">
        <f>HYPERLINK("https://klasma.github.io/Logging_1495/klagomål/A 33610-2025 FSC-klagomål.docx", "A 33610-2025")</f>
        <v/>
      </c>
      <c r="AB5">
        <f>HYPERLINK("https://klasma.github.io/Logging_1495/klagomålsmail/A 33610-2025 FSC-klagomål mail.docx", "A 33610-2025")</f>
        <v/>
      </c>
      <c r="AC5">
        <f>HYPERLINK("https://klasma.github.io/Logging_1495/tillsyn/A 33610-2025 tillsynsbegäran.docx", "A 33610-2025")</f>
        <v/>
      </c>
      <c r="AD5">
        <f>HYPERLINK("https://klasma.github.io/Logging_1495/tillsynsmail/A 33610-2025 tillsynsbegäran mail.docx", "A 33610-2025")</f>
        <v/>
      </c>
    </row>
    <row r="6" ht="15" customHeight="1">
      <c r="A6" t="inlineStr">
        <is>
          <t>A 8807-2022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44614</v>
      </c>
      <c r="E6" s="1" t="n">
        <v>46316</v>
      </c>
      <c r="F6" t="inlineStr">
        <is>
          <t>VÄSTRA GÖTALANDS LÄN</t>
        </is>
      </c>
      <c r="G6" t="inlineStr">
        <is>
          <t>SKARA</t>
        </is>
      </c>
      <c r="H6" t="inlineStr">
        <is>
          <t>Kyrkan</t>
        </is>
      </c>
      <c r="I6" t="n">
        <v>8.9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4</v>
      </c>
      <c r="U6" t="n">
        <v>4</v>
      </c>
      <c r="V6" s="2" t="inlineStr">
        <is>
          <t>Brandticka
Grovticka
Revlummer</t>
        </is>
      </c>
      <c r="W6">
        <f>HYPERLINK("https://klasma.github.io/Logging_1495/artfynd/A 8807-2022 artfynd.xlsx", "A 8807-2022")</f>
        <v/>
      </c>
      <c r="X6">
        <f>HYPERLINK("https://klasma.github.io/Logging_1495/kartor/A 8807-2022 karta.png", "A 8807-2022")</f>
        <v/>
      </c>
      <c r="Y6">
        <f>HYPERLINK("https://klasma.github.io/Logging_1495/kartor_geotiff/A 8807-2022 georefererad karta.tif", "A 8807-2022")</f>
        <v/>
      </c>
      <c r="AA6">
        <f>HYPERLINK("https://klasma.github.io/Logging_1495/klagomål/A 8807-2022 FSC-klagomål.docx", "A 8807-2022")</f>
        <v/>
      </c>
      <c r="AB6">
        <f>HYPERLINK("https://klasma.github.io/Logging_1495/klagomålsmail/A 8807-2022 FSC-klagomål mail.docx", "A 8807-2022")</f>
        <v/>
      </c>
      <c r="AC6">
        <f>HYPERLINK("https://klasma.github.io/Logging_1495/tillsyn/A 8807-2022 tillsynsbegäran.docx", "A 8807-2022")</f>
        <v/>
      </c>
      <c r="AD6">
        <f>HYPERLINK("https://klasma.github.io/Logging_1495/tillsynsmail/A 8807-2022 tillsynsbegäran mail.docx", "A 8807-2022")</f>
        <v/>
      </c>
    </row>
    <row r="7" ht="15" customHeight="1">
      <c r="A7" t="inlineStr">
        <is>
          <t>A 22585-2022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44714</v>
      </c>
      <c r="E7" s="1" t="n">
        <v>46316</v>
      </c>
      <c r="F7" t="inlineStr">
        <is>
          <t>VÄSTRA GÖTALANDS LÄN</t>
        </is>
      </c>
      <c r="G7" t="inlineStr">
        <is>
          <t>SKARA</t>
        </is>
      </c>
      <c r="I7" t="n">
        <v>1.6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2</v>
      </c>
      <c r="T7" t="n">
        <v>3</v>
      </c>
      <c r="U7" t="n">
        <v>0</v>
      </c>
      <c r="V7" s="2" t="inlineStr">
        <is>
          <t>Scharlakansvaxing
Toppvaxing</t>
        </is>
      </c>
      <c r="W7">
        <f>HYPERLINK("https://klasma.github.io/Logging_1495/artfynd/A 22585-2022 artfynd.xlsx", "A 22585-2022")</f>
        <v/>
      </c>
      <c r="X7">
        <f>HYPERLINK("https://klasma.github.io/Logging_1495/kartor/A 22585-2022 karta.png", "A 22585-2022")</f>
        <v/>
      </c>
      <c r="Y7">
        <f>HYPERLINK("https://klasma.github.io/Logging_1495/kartor_geotiff/A 22585-2022 georefererad karta.tif", "A 22585-2022")</f>
        <v/>
      </c>
      <c r="AA7">
        <f>HYPERLINK("https://klasma.github.io/Logging_1495/klagomål/A 22585-2022 FSC-klagomål.docx", "A 22585-2022")</f>
        <v/>
      </c>
      <c r="AB7">
        <f>HYPERLINK("https://klasma.github.io/Logging_1495/klagomålsmail/A 22585-2022 FSC-klagomål mail.docx", "A 22585-2022")</f>
        <v/>
      </c>
      <c r="AC7">
        <f>HYPERLINK("https://klasma.github.io/Logging_1495/tillsyn/A 22585-2022 tillsynsbegäran.docx", "A 22585-2022")</f>
        <v/>
      </c>
      <c r="AD7">
        <f>HYPERLINK("https://klasma.github.io/Logging_1495/tillsynsmail/A 22585-2022 tillsynsbegäran mail.docx", "A 22585-2022")</f>
        <v/>
      </c>
    </row>
    <row r="8" ht="15" customHeight="1">
      <c r="A8" t="inlineStr">
        <is>
          <t>A 18736-2023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45043</v>
      </c>
      <c r="E8" s="1" t="n">
        <v>46316</v>
      </c>
      <c r="F8" t="inlineStr">
        <is>
          <t>VÄSTRA GÖTALANDS LÄN</t>
        </is>
      </c>
      <c r="G8" t="inlineStr">
        <is>
          <t>SKARA</t>
        </is>
      </c>
      <c r="I8" t="n">
        <v>5.7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2</v>
      </c>
      <c r="U8" t="n">
        <v>2</v>
      </c>
      <c r="V8" s="2" t="inlineStr">
        <is>
          <t>Slåttergubbe
Revlummer</t>
        </is>
      </c>
      <c r="W8">
        <f>HYPERLINK("https://klasma.github.io/Logging_1495/artfynd/A 18736-2023 artfynd.xlsx", "A 18736-2023")</f>
        <v/>
      </c>
      <c r="X8">
        <f>HYPERLINK("https://klasma.github.io/Logging_1495/kartor/A 18736-2023 karta.png", "A 18736-2023")</f>
        <v/>
      </c>
      <c r="Y8">
        <f>HYPERLINK("https://klasma.github.io/Logging_1495/kartor_geotiff/A 18736-2023 georefererad karta.tif", "A 18736-2023")</f>
        <v/>
      </c>
      <c r="AA8">
        <f>HYPERLINK("https://klasma.github.io/Logging_1495/klagomål/A 18736-2023 FSC-klagomål.docx", "A 18736-2023")</f>
        <v/>
      </c>
      <c r="AB8">
        <f>HYPERLINK("https://klasma.github.io/Logging_1495/klagomålsmail/A 18736-2023 FSC-klagomål mail.docx", "A 18736-2023")</f>
        <v/>
      </c>
      <c r="AC8">
        <f>HYPERLINK("https://klasma.github.io/Logging_1495/tillsyn/A 18736-2023 tillsynsbegäran.docx", "A 18736-2023")</f>
        <v/>
      </c>
      <c r="AD8">
        <f>HYPERLINK("https://klasma.github.io/Logging_1495/tillsynsmail/A 18736-2023 tillsynsbegäran mail.docx", "A 18736-2023")</f>
        <v/>
      </c>
    </row>
    <row r="9" ht="15" customHeight="1">
      <c r="A9" t="inlineStr">
        <is>
          <t>A 4312-2023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44953</v>
      </c>
      <c r="E9" s="1" t="n">
        <v>46316</v>
      </c>
      <c r="F9" t="inlineStr">
        <is>
          <t>VÄSTRA GÖTALANDS LÄN</t>
        </is>
      </c>
      <c r="G9" t="inlineStr">
        <is>
          <t>SKARA</t>
        </is>
      </c>
      <c r="I9" t="n">
        <v>4.1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2</v>
      </c>
      <c r="T9" t="n">
        <v>2</v>
      </c>
      <c r="U9" t="n">
        <v>2</v>
      </c>
      <c r="V9" s="2" t="inlineStr">
        <is>
          <t>Hartmansstarr
Klasefibbla</t>
        </is>
      </c>
      <c r="W9">
        <f>HYPERLINK("https://klasma.github.io/Logging_1495/artfynd/A 4312-2023 artfynd.xlsx", "A 4312-2023")</f>
        <v/>
      </c>
      <c r="X9">
        <f>HYPERLINK("https://klasma.github.io/Logging_1495/kartor/A 4312-2023 karta.png", "A 4312-2023")</f>
        <v/>
      </c>
      <c r="Y9">
        <f>HYPERLINK("https://klasma.github.io/Logging_1495/kartor_geotiff/A 4312-2023 georefererad karta.tif", "A 4312-2023")</f>
        <v/>
      </c>
      <c r="AA9">
        <f>HYPERLINK("https://klasma.github.io/Logging_1495/klagomål/A 4312-2023 FSC-klagomål.docx", "A 4312-2023")</f>
        <v/>
      </c>
      <c r="AB9">
        <f>HYPERLINK("https://klasma.github.io/Logging_1495/klagomålsmail/A 4312-2023 FSC-klagomål mail.docx", "A 4312-2023")</f>
        <v/>
      </c>
      <c r="AC9">
        <f>HYPERLINK("https://klasma.github.io/Logging_1495/tillsyn/A 4312-2023 tillsynsbegäran.docx", "A 4312-2023")</f>
        <v/>
      </c>
      <c r="AD9">
        <f>HYPERLINK("https://klasma.github.io/Logging_1495/tillsynsmail/A 4312-2023 tillsynsbegäran mail.docx", "A 4312-2023")</f>
        <v/>
      </c>
    </row>
    <row r="10" ht="15" customHeight="1">
      <c r="A10" t="inlineStr">
        <is>
          <t>S 2565-2025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45915</v>
      </c>
      <c r="E10" s="1" t="n">
        <v>46316</v>
      </c>
      <c r="F10" t="inlineStr">
        <is>
          <t>VÄSTRA GÖTALANDS LÄN</t>
        </is>
      </c>
      <c r="G10" t="inlineStr">
        <is>
          <t>SKARA</t>
        </is>
      </c>
      <c r="I10" t="n">
        <v>2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2</v>
      </c>
      <c r="T10" t="n">
        <v>4</v>
      </c>
      <c r="U10" t="n">
        <v>0</v>
      </c>
      <c r="V10" s="2" t="inlineStr">
        <is>
          <t>Ask
Hässleklocka</t>
        </is>
      </c>
      <c r="W10">
        <f>HYPERLINK("https://klasma.github.io/Logging_1495/artfynd/S 2565-2025 artfynd.xlsx", "S 2565-2025")</f>
        <v/>
      </c>
      <c r="X10">
        <f>HYPERLINK("https://klasma.github.io/Logging_1495/kartor/S 2565-2025 karta.png", "S 2565-2025")</f>
        <v/>
      </c>
      <c r="Y10">
        <f>HYPERLINK("https://klasma.github.io/Logging_1495/kartor_geotiff/S 2565-2025 georefererad karta.tif", "S 2565-2025")</f>
        <v/>
      </c>
      <c r="AA10">
        <f>HYPERLINK("https://klasma.github.io/Logging_1495/klagomål/S 2565-2025 FSC-klagomål.docx", "S 2565-2025")</f>
        <v/>
      </c>
      <c r="AB10">
        <f>HYPERLINK("https://klasma.github.io/Logging_1495/klagomålsmail/S 2565-2025 FSC-klagomål mail.docx", "S 2565-2025")</f>
        <v/>
      </c>
      <c r="AC10">
        <f>HYPERLINK("https://klasma.github.io/Logging_1495/tillsyn/S 2565-2025 tillsynsbegäran.docx", "S 2565-2025")</f>
        <v/>
      </c>
      <c r="AD10">
        <f>HYPERLINK("https://klasma.github.io/Logging_1495/tillsynsmail/S 2565-2025 tillsynsbegäran mail.docx", "S 2565-2025")</f>
        <v/>
      </c>
    </row>
    <row r="11" ht="15" customHeight="1">
      <c r="A11" t="inlineStr">
        <is>
          <t>A 30080-2023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45110</v>
      </c>
      <c r="E11" s="1" t="n">
        <v>46316</v>
      </c>
      <c r="F11" t="inlineStr">
        <is>
          <t>VÄSTRA GÖTALANDS LÄN</t>
        </is>
      </c>
      <c r="G11" t="inlineStr">
        <is>
          <t>SKARA</t>
        </is>
      </c>
      <c r="I11" t="n">
        <v>0.6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s="2" t="inlineStr">
        <is>
          <t>Igelkott</t>
        </is>
      </c>
      <c r="W11">
        <f>HYPERLINK("https://klasma.github.io/Logging_1495/artfynd/A 30080-2023 artfynd.xlsx", "A 30080-2023")</f>
        <v/>
      </c>
      <c r="X11">
        <f>HYPERLINK("https://klasma.github.io/Logging_1495/kartor/A 30080-2023 karta.png", "A 30080-2023")</f>
        <v/>
      </c>
      <c r="Y11">
        <f>HYPERLINK("https://klasma.github.io/Logging_1495/kartor_geotiff/A 30080-2023 georefererad karta.tif", "A 30080-2023")</f>
        <v/>
      </c>
      <c r="AA11">
        <f>HYPERLINK("https://klasma.github.io/Logging_1495/klagomål/A 30080-2023 FSC-klagomål.docx", "A 30080-2023")</f>
        <v/>
      </c>
      <c r="AB11">
        <f>HYPERLINK("https://klasma.github.io/Logging_1495/klagomålsmail/A 30080-2023 FSC-klagomål mail.docx", "A 30080-2023")</f>
        <v/>
      </c>
      <c r="AC11">
        <f>HYPERLINK("https://klasma.github.io/Logging_1495/tillsyn/A 30080-2023 tillsynsbegäran.docx", "A 30080-2023")</f>
        <v/>
      </c>
      <c r="AD11">
        <f>HYPERLINK("https://klasma.github.io/Logging_1495/tillsynsmail/A 30080-2023 tillsynsbegäran mail.docx", "A 30080-2023")</f>
        <v/>
      </c>
    </row>
    <row r="12" ht="15" customHeight="1">
      <c r="A12" t="inlineStr">
        <is>
          <t>A 55928-2025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45973</v>
      </c>
      <c r="E12" s="1" t="n">
        <v>46316</v>
      </c>
      <c r="F12" t="inlineStr">
        <is>
          <t>VÄSTRA GÖTALANDS LÄN</t>
        </is>
      </c>
      <c r="G12" t="inlineStr">
        <is>
          <t>SKARA</t>
        </is>
      </c>
      <c r="H12" t="inlineStr">
        <is>
          <t>Sveaskog</t>
        </is>
      </c>
      <c r="I12" t="n">
        <v>5.1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3</v>
      </c>
      <c r="U12" t="n">
        <v>3</v>
      </c>
      <c r="V12" s="2" t="inlineStr">
        <is>
          <t>Motaggsvamp</t>
        </is>
      </c>
      <c r="W12">
        <f>HYPERLINK("https://klasma.github.io/Logging_1495/artfynd/A 55928-2025 artfynd.xlsx", "A 55928-2025")</f>
        <v/>
      </c>
      <c r="X12">
        <f>HYPERLINK("https://klasma.github.io/Logging_1495/kartor/A 55928-2025 karta.png", "A 55928-2025")</f>
        <v/>
      </c>
      <c r="Y12">
        <f>HYPERLINK("https://klasma.github.io/Logging_1495/kartor_geotiff/A 55928-2025 georefererad karta.tif", "A 55928-2025")</f>
        <v/>
      </c>
      <c r="AA12">
        <f>HYPERLINK("https://klasma.github.io/Logging_1495/klagomål/A 55928-2025 FSC-klagomål.docx", "A 55928-2025")</f>
        <v/>
      </c>
      <c r="AB12">
        <f>HYPERLINK("https://klasma.github.io/Logging_1495/klagomålsmail/A 55928-2025 FSC-klagomål mail.docx", "A 55928-2025")</f>
        <v/>
      </c>
      <c r="AC12">
        <f>HYPERLINK("https://klasma.github.io/Logging_1495/tillsyn/A 55928-2025 tillsynsbegäran.docx", "A 55928-2025")</f>
        <v/>
      </c>
      <c r="AD12">
        <f>HYPERLINK("https://klasma.github.io/Logging_1495/tillsynsmail/A 55928-2025 tillsynsbegäran mail.docx", "A 55928-2025")</f>
        <v/>
      </c>
    </row>
    <row r="13" ht="15" customHeight="1">
      <c r="A13" t="inlineStr">
        <is>
          <t>A 19729-2026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46135</v>
      </c>
      <c r="E13" s="1" t="n">
        <v>46316</v>
      </c>
      <c r="F13" t="inlineStr">
        <is>
          <t>VÄSTRA GÖTALANDS LÄN</t>
        </is>
      </c>
      <c r="G13" t="inlineStr">
        <is>
          <t>SKARA</t>
        </is>
      </c>
      <c r="I13" t="n">
        <v>1.5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Grönvit nattviol</t>
        </is>
      </c>
      <c r="W13">
        <f>HYPERLINK("https://klasma.github.io/Logging_1495/artfynd/A 19729-2026 artfynd.xlsx", "A 19729-2026")</f>
        <v/>
      </c>
      <c r="X13">
        <f>HYPERLINK("https://klasma.github.io/Logging_1495/kartor/A 19729-2026 karta.png", "A 19729-2026")</f>
        <v/>
      </c>
      <c r="Y13">
        <f>HYPERLINK("https://klasma.github.io/Logging_1495/kartor_geotiff/A 19729-2026 georefererad karta.tif", "A 19729-2026")</f>
        <v/>
      </c>
      <c r="AA13">
        <f>HYPERLINK("https://klasma.github.io/Logging_1495/klagomål/A 19729-2026 FSC-klagomål.docx", "A 19729-2026")</f>
        <v/>
      </c>
      <c r="AB13">
        <f>HYPERLINK("https://klasma.github.io/Logging_1495/klagomålsmail/A 19729-2026 FSC-klagomål mail.docx", "A 19729-2026")</f>
        <v/>
      </c>
      <c r="AC13">
        <f>HYPERLINK("https://klasma.github.io/Logging_1495/tillsyn/A 19729-2026 tillsynsbegäran.docx", "A 19729-2026")</f>
        <v/>
      </c>
      <c r="AD13">
        <f>HYPERLINK("https://klasma.github.io/Logging_1495/tillsynsmail/A 19729-2026 tillsynsbegäran mail.docx", "A 19729-2026")</f>
        <v/>
      </c>
    </row>
    <row r="14" ht="15" customHeight="1">
      <c r="A14" t="inlineStr">
        <is>
          <t>A 20063-2025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45772</v>
      </c>
      <c r="E14" s="1" t="n">
        <v>46316</v>
      </c>
      <c r="F14" t="inlineStr">
        <is>
          <t>VÄSTRA GÖTALANDS LÄN</t>
        </is>
      </c>
      <c r="G14" t="inlineStr">
        <is>
          <t>SKARA</t>
        </is>
      </c>
      <c r="I14" t="n">
        <v>3.4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Skinntagging</t>
        </is>
      </c>
      <c r="W14">
        <f>HYPERLINK("https://klasma.github.io/Logging_1495/artfynd/A 20063-2025 artfynd.xlsx", "A 20063-2025")</f>
        <v/>
      </c>
      <c r="X14">
        <f>HYPERLINK("https://klasma.github.io/Logging_1495/kartor/A 20063-2025 karta.png", "A 20063-2025")</f>
        <v/>
      </c>
      <c r="Y14">
        <f>HYPERLINK("https://klasma.github.io/Logging_1495/kartor_geotiff/A 20063-2025 georefererad karta.tif", "A 20063-2025")</f>
        <v/>
      </c>
      <c r="AA14">
        <f>HYPERLINK("https://klasma.github.io/Logging_1495/klagomål/A 20063-2025 FSC-klagomål.docx", "A 20063-2025")</f>
        <v/>
      </c>
      <c r="AB14">
        <f>HYPERLINK("https://klasma.github.io/Logging_1495/klagomålsmail/A 20063-2025 FSC-klagomål mail.docx", "A 20063-2025")</f>
        <v/>
      </c>
      <c r="AC14">
        <f>HYPERLINK("https://klasma.github.io/Logging_1495/tillsyn/A 20063-2025 tillsynsbegäran.docx", "A 20063-2025")</f>
        <v/>
      </c>
      <c r="AD14">
        <f>HYPERLINK("https://klasma.github.io/Logging_1495/tillsynsmail/A 20063-2025 tillsynsbegäran mail.docx", "A 20063-2025")</f>
        <v/>
      </c>
    </row>
    <row r="15" ht="15" customHeight="1">
      <c r="A15" t="inlineStr">
        <is>
          <t>A 23455-2026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46163</v>
      </c>
      <c r="E15" s="1" t="n">
        <v>46316</v>
      </c>
      <c r="F15" t="inlineStr">
        <is>
          <t>VÄSTRA GÖTALANDS LÄN</t>
        </is>
      </c>
      <c r="G15" t="inlineStr">
        <is>
          <t>SKARA</t>
        </is>
      </c>
      <c r="H15" t="inlineStr">
        <is>
          <t>Sveaskog</t>
        </is>
      </c>
      <c r="I15" t="n">
        <v>1.1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Revlummer</t>
        </is>
      </c>
      <c r="W15">
        <f>HYPERLINK("https://klasma.github.io/Logging_1495/artfynd/A 23455-2026 artfynd.xlsx", "A 23455-2026")</f>
        <v/>
      </c>
      <c r="X15">
        <f>HYPERLINK("https://klasma.github.io/Logging_1495/kartor/A 23455-2026 karta.png", "A 23455-2026")</f>
        <v/>
      </c>
      <c r="Y15">
        <f>HYPERLINK("https://klasma.github.io/Logging_1495/kartor_geotiff/A 23455-2026 georefererad karta.tif", "A 23455-2026")</f>
        <v/>
      </c>
      <c r="AA15">
        <f>HYPERLINK("https://klasma.github.io/Logging_1495/klagomål/A 23455-2026 FSC-klagomål.docx", "A 23455-2026")</f>
        <v/>
      </c>
      <c r="AB15">
        <f>HYPERLINK("https://klasma.github.io/Logging_1495/klagomålsmail/A 23455-2026 FSC-klagomål mail.docx", "A 23455-2026")</f>
        <v/>
      </c>
      <c r="AC15">
        <f>HYPERLINK("https://klasma.github.io/Logging_1495/tillsyn/A 23455-2026 tillsynsbegäran.docx", "A 23455-2026")</f>
        <v/>
      </c>
      <c r="AD15">
        <f>HYPERLINK("https://klasma.github.io/Logging_1495/tillsynsmail/A 23455-2026 tillsynsbegäran mail.docx", "A 23455-2026")</f>
        <v/>
      </c>
    </row>
    <row r="16" ht="15" customHeight="1">
      <c r="A16" t="inlineStr">
        <is>
          <t>A 9277-2023</t>
        </is>
      </c>
      <c r="B16" t="inlineStr">
        <is>
          <t>avverkningsanmälan</t>
        </is>
      </c>
      <c r="C16" t="inlineStr">
        <is>
          <t>Avverkning för annat ändamål</t>
        </is>
      </c>
      <c r="D16" s="1" t="n">
        <v>44980</v>
      </c>
      <c r="E16" s="1" t="n">
        <v>46316</v>
      </c>
      <c r="F16" t="inlineStr">
        <is>
          <t>VÄSTRA GÖTALANDS LÄN</t>
        </is>
      </c>
      <c r="G16" t="inlineStr">
        <is>
          <t>SKARA</t>
        </is>
      </c>
      <c r="I16" t="n">
        <v>1.3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Grönvit nattviol</t>
        </is>
      </c>
      <c r="W16">
        <f>HYPERLINK("https://klasma.github.io/Logging_1495/artfynd/A 9277-2023 artfynd.xlsx", "A 9277-2023")</f>
        <v/>
      </c>
      <c r="X16">
        <f>HYPERLINK("https://klasma.github.io/Logging_1495/kartor/A 9277-2023 karta.png", "A 9277-2023")</f>
        <v/>
      </c>
      <c r="Y16">
        <f>HYPERLINK("https://klasma.github.io/Logging_1495/kartor_geotiff/A 9277-2023 georefererad karta.tif", "A 9277-2023")</f>
        <v/>
      </c>
      <c r="AA16">
        <f>HYPERLINK("https://klasma.github.io/Logging_1495/klagomål/A 9277-2023 FSC-klagomål.docx", "A 9277-2023")</f>
        <v/>
      </c>
      <c r="AB16">
        <f>HYPERLINK("https://klasma.github.io/Logging_1495/klagomålsmail/A 9277-2023 FSC-klagomål mail.docx", "A 9277-2023")</f>
        <v/>
      </c>
      <c r="AC16">
        <f>HYPERLINK("https://klasma.github.io/Logging_1495/tillsyn/A 9277-2023 tillsynsbegäran.docx", "A 9277-2023")</f>
        <v/>
      </c>
      <c r="AD16">
        <f>HYPERLINK("https://klasma.github.io/Logging_1495/tillsynsmail/A 9277-2023 tillsynsbegäran mail.docx", "A 9277-2023")</f>
        <v/>
      </c>
    </row>
    <row r="17" ht="15" customHeight="1">
      <c r="A17" t="inlineStr">
        <is>
          <t>A 31736-2026</t>
        </is>
      </c>
      <c r="B17" t="inlineStr">
        <is>
          <t>avverkningsanmälan</t>
        </is>
      </c>
      <c r="C17" t="inlineStr">
        <is>
          <t>Avverkning för att bevara och utveckla /försöksver</t>
        </is>
      </c>
      <c r="D17" s="1" t="n">
        <v>46227</v>
      </c>
      <c r="E17" s="1" t="n">
        <v>46316</v>
      </c>
      <c r="F17" t="inlineStr">
        <is>
          <t>VÄSTRA GÖTALANDS LÄN</t>
        </is>
      </c>
      <c r="G17" t="inlineStr">
        <is>
          <t>SKARA</t>
        </is>
      </c>
      <c r="I17" t="n">
        <v>2.2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Dvärghäxört</t>
        </is>
      </c>
      <c r="W17">
        <f>HYPERLINK("https://klasma.github.io/Logging_1495/artfynd/A 31736-2026 artfynd.xlsx", "A 31736-2026")</f>
        <v/>
      </c>
      <c r="X17">
        <f>HYPERLINK("https://klasma.github.io/Logging_1495/kartor/A 31736-2026 karta.png", "A 31736-2026")</f>
        <v/>
      </c>
      <c r="Y17">
        <f>HYPERLINK("https://klasma.github.io/Logging_1495/kartor_geotiff/A 31736-2026 georefererad karta.tif", "A 31736-2026")</f>
        <v/>
      </c>
      <c r="AA17">
        <f>HYPERLINK("https://klasma.github.io/Logging_1495/klagomål/A 31736-2026 FSC-klagomål.docx", "A 31736-2026")</f>
        <v/>
      </c>
      <c r="AB17">
        <f>HYPERLINK("https://klasma.github.io/Logging_1495/klagomålsmail/A 31736-2026 FSC-klagomål mail.docx", "A 31736-2026")</f>
        <v/>
      </c>
      <c r="AC17">
        <f>HYPERLINK("https://klasma.github.io/Logging_1495/tillsyn/A 31736-2026 tillsynsbegäran.docx", "A 31736-2026")</f>
        <v/>
      </c>
      <c r="AD17">
        <f>HYPERLINK("https://klasma.github.io/Logging_1495/tillsynsmail/A 31736-2026 tillsynsbegäran mail.docx", "A 31736-2026")</f>
        <v/>
      </c>
    </row>
    <row r="18" ht="15" customHeight="1">
      <c r="A18" t="inlineStr">
        <is>
          <t>A 52041-2023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45223</v>
      </c>
      <c r="E18" s="1" t="n">
        <v>46316</v>
      </c>
      <c r="F18" t="inlineStr">
        <is>
          <t>VÄSTRA GÖTALANDS LÄN</t>
        </is>
      </c>
      <c r="G18" t="inlineStr">
        <is>
          <t>SKARA</t>
        </is>
      </c>
      <c r="I18" t="n">
        <v>5.9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Svinrot</t>
        </is>
      </c>
      <c r="W18">
        <f>HYPERLINK("https://klasma.github.io/Logging_1495/artfynd/A 52041-2023 artfynd.xlsx", "A 52041-2023")</f>
        <v/>
      </c>
      <c r="X18">
        <f>HYPERLINK("https://klasma.github.io/Logging_1495/kartor/A 52041-2023 karta.png", "A 52041-2023")</f>
        <v/>
      </c>
      <c r="Y18">
        <f>HYPERLINK("https://klasma.github.io/Logging_1495/kartor_geotiff/A 52041-2023 georefererad karta.tif", "A 52041-2023")</f>
        <v/>
      </c>
      <c r="AA18">
        <f>HYPERLINK("https://klasma.github.io/Logging_1495/klagomål/A 52041-2023 FSC-klagomål.docx", "A 52041-2023")</f>
        <v/>
      </c>
      <c r="AB18">
        <f>HYPERLINK("https://klasma.github.io/Logging_1495/klagomålsmail/A 52041-2023 FSC-klagomål mail.docx", "A 52041-2023")</f>
        <v/>
      </c>
      <c r="AC18">
        <f>HYPERLINK("https://klasma.github.io/Logging_1495/tillsyn/A 52041-2023 tillsynsbegäran.docx", "A 52041-2023")</f>
        <v/>
      </c>
      <c r="AD18">
        <f>HYPERLINK("https://klasma.github.io/Logging_1495/tillsynsmail/A 52041-2023 tillsynsbegäran mail.docx", "A 52041-2023")</f>
        <v/>
      </c>
    </row>
    <row r="19" ht="15" customHeight="1">
      <c r="A19" t="inlineStr">
        <is>
          <t>A 36670-2026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46272</v>
      </c>
      <c r="E19" s="1" t="n">
        <v>46316</v>
      </c>
      <c r="F19" t="inlineStr">
        <is>
          <t>VÄSTRA GÖTALANDS LÄN</t>
        </is>
      </c>
      <c r="G19" t="inlineStr">
        <is>
          <t>SKARA</t>
        </is>
      </c>
      <c r="I19" t="n">
        <v>2.3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s="2" t="inlineStr">
        <is>
          <t>Almrostöra</t>
        </is>
      </c>
      <c r="W19">
        <f>HYPERLINK("https://klasma.github.io/Logging_1495/artfynd/A 36670-2026 artfynd.xlsx", "A 36670-2026")</f>
        <v/>
      </c>
      <c r="X19">
        <f>HYPERLINK("https://klasma.github.io/Logging_1495/kartor/A 36670-2026 karta.png", "A 36670-2026")</f>
        <v/>
      </c>
      <c r="Y19">
        <f>HYPERLINK("https://klasma.github.io/Logging_1495/kartor_geotiff/A 36670-2026 georefererad karta.tif", "A 36670-2026")</f>
        <v/>
      </c>
      <c r="AA19">
        <f>HYPERLINK("https://klasma.github.io/Logging_1495/klagomål/A 36670-2026 FSC-klagomål.docx", "A 36670-2026")</f>
        <v/>
      </c>
      <c r="AB19">
        <f>HYPERLINK("https://klasma.github.io/Logging_1495/klagomålsmail/A 36670-2026 FSC-klagomål mail.docx", "A 36670-2026")</f>
        <v/>
      </c>
      <c r="AC19">
        <f>HYPERLINK("https://klasma.github.io/Logging_1495/tillsyn/A 36670-2026 tillsynsbegäran.docx", "A 36670-2026")</f>
        <v/>
      </c>
      <c r="AD19">
        <f>HYPERLINK("https://klasma.github.io/Logging_1495/tillsynsmail/A 36670-2026 tillsynsbegäran mail.docx", "A 36670-2026")</f>
        <v/>
      </c>
    </row>
    <row r="20" ht="15" customHeight="1">
      <c r="A20" t="inlineStr">
        <is>
          <t>S 725-2026</t>
        </is>
      </c>
      <c r="B20" t="inlineStr">
        <is>
          <t>samrådsanmälan</t>
        </is>
      </c>
      <c r="C20" t="inlineStr">
        <is>
          <t>Askåterföring</t>
        </is>
      </c>
      <c r="D20" s="1" t="n">
        <v>46093</v>
      </c>
      <c r="E20" s="1" t="n">
        <v>46316</v>
      </c>
      <c r="F20" t="inlineStr">
        <is>
          <t>VÄSTRA GÖTALANDS LÄN</t>
        </is>
      </c>
      <c r="G20" t="inlineStr">
        <is>
          <t>SKARA</t>
        </is>
      </c>
      <c r="H20" t="inlineStr">
        <is>
          <t>Sveaskog</t>
        </is>
      </c>
      <c r="I20" t="n">
        <v>520.8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Vågbandad barkbock</t>
        </is>
      </c>
      <c r="W20">
        <f>HYPERLINK("https://klasma.github.io/Logging_1495/artfynd/S 725-2026 artfynd.xlsx", "S 725-2026")</f>
        <v/>
      </c>
      <c r="X20">
        <f>HYPERLINK("https://klasma.github.io/Logging_1495/kartor/S 725-2026 karta.png", "S 725-2026")</f>
        <v/>
      </c>
      <c r="Y20">
        <f>HYPERLINK("https://klasma.github.io/Logging_1495/kartor_geotiff/S 725-2026 georefererad karta.tif", "S 725-2026")</f>
        <v/>
      </c>
      <c r="AA20">
        <f>HYPERLINK("https://klasma.github.io/Logging_1495/klagomål/S 725-2026 FSC-klagomål.docx", "S 725-2026")</f>
        <v/>
      </c>
      <c r="AB20">
        <f>HYPERLINK("https://klasma.github.io/Logging_1495/klagomålsmail/S 725-2026 FSC-klagomål mail.docx", "S 725-2026")</f>
        <v/>
      </c>
      <c r="AC20">
        <f>HYPERLINK("https://klasma.github.io/Logging_1495/tillsyn/S 725-2026 tillsynsbegäran.docx", "S 725-2026")</f>
        <v/>
      </c>
      <c r="AD20">
        <f>HYPERLINK("https://klasma.github.io/Logging_1495/tillsynsmail/S 725-2026 tillsynsbegäran mail.docx", "S 725-2026")</f>
        <v/>
      </c>
    </row>
    <row r="21" ht="15" customHeight="1">
      <c r="A21" t="inlineStr">
        <is>
          <t>A 74438-2021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44560</v>
      </c>
      <c r="E21" s="1" t="n">
        <v>46316</v>
      </c>
      <c r="F21" t="inlineStr">
        <is>
          <t>VÄSTRA GÖTALANDS LÄN</t>
        </is>
      </c>
      <c r="G21" t="inlineStr">
        <is>
          <t>SKARA</t>
        </is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35607-2022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44799</v>
      </c>
      <c r="E22" s="1" t="n">
        <v>46316</v>
      </c>
      <c r="F22" t="inlineStr">
        <is>
          <t>VÄSTRA GÖTALANDS LÄN</t>
        </is>
      </c>
      <c r="G22" t="inlineStr">
        <is>
          <t>SKARA</t>
        </is>
      </c>
      <c r="I22" t="n">
        <v>1.9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29874-2022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44756</v>
      </c>
      <c r="E23" s="1" t="n">
        <v>46316</v>
      </c>
      <c r="F23" t="inlineStr">
        <is>
          <t>VÄSTRA GÖTALANDS LÄN</t>
        </is>
      </c>
      <c r="G23" t="inlineStr">
        <is>
          <t>SKARA</t>
        </is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70412-2021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44536</v>
      </c>
      <c r="E24" s="1" t="n">
        <v>46316</v>
      </c>
      <c r="F24" t="inlineStr">
        <is>
          <t>VÄSTRA GÖTALANDS LÄN</t>
        </is>
      </c>
      <c r="G24" t="inlineStr">
        <is>
          <t>SKARA</t>
        </is>
      </c>
      <c r="I24" t="n">
        <v>0.9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74491-2021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44560</v>
      </c>
      <c r="E25" s="1" t="n">
        <v>46316</v>
      </c>
      <c r="F25" t="inlineStr">
        <is>
          <t>VÄSTRA GÖTALANDS LÄN</t>
        </is>
      </c>
      <c r="G25" t="inlineStr">
        <is>
          <t>SKARA</t>
        </is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6251-2022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44600</v>
      </c>
      <c r="E26" s="1" t="n">
        <v>46316</v>
      </c>
      <c r="F26" t="inlineStr">
        <is>
          <t>VÄSTRA GÖTALANDS LÄN</t>
        </is>
      </c>
      <c r="G26" t="inlineStr">
        <is>
          <t>SKARA</t>
        </is>
      </c>
      <c r="H26" t="inlineStr">
        <is>
          <t>Sveaskog</t>
        </is>
      </c>
      <c r="I26" t="n">
        <v>5.2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52537-2022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44874</v>
      </c>
      <c r="E27" s="1" t="n">
        <v>46316</v>
      </c>
      <c r="F27" t="inlineStr">
        <is>
          <t>VÄSTRA GÖTALANDS LÄN</t>
        </is>
      </c>
      <c r="G27" t="inlineStr">
        <is>
          <t>SKARA</t>
        </is>
      </c>
      <c r="I27" t="n">
        <v>2.1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5594-2022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44595</v>
      </c>
      <c r="E28" s="1" t="n">
        <v>46316</v>
      </c>
      <c r="F28" t="inlineStr">
        <is>
          <t>VÄSTRA GÖTALANDS LÄN</t>
        </is>
      </c>
      <c r="G28" t="inlineStr">
        <is>
          <t>SKARA</t>
        </is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5600-2022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44595</v>
      </c>
      <c r="E29" s="1" t="n">
        <v>46316</v>
      </c>
      <c r="F29" t="inlineStr">
        <is>
          <t>VÄSTRA GÖTALANDS LÄN</t>
        </is>
      </c>
      <c r="G29" t="inlineStr">
        <is>
          <t>SKARA</t>
        </is>
      </c>
      <c r="I29" t="n">
        <v>8.9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15415-2022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44659</v>
      </c>
      <c r="E30" s="1" t="n">
        <v>46316</v>
      </c>
      <c r="F30" t="inlineStr">
        <is>
          <t>VÄSTRA GÖTALANDS LÄN</t>
        </is>
      </c>
      <c r="G30" t="inlineStr">
        <is>
          <t>SKARA</t>
        </is>
      </c>
      <c r="H30" t="inlineStr">
        <is>
          <t>Kommuner</t>
        </is>
      </c>
      <c r="I30" t="n">
        <v>2.4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72213-2021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44544</v>
      </c>
      <c r="E31" s="1" t="n">
        <v>46316</v>
      </c>
      <c r="F31" t="inlineStr">
        <is>
          <t>VÄSTRA GÖTALANDS LÄN</t>
        </is>
      </c>
      <c r="G31" t="inlineStr">
        <is>
          <t>SKARA</t>
        </is>
      </c>
      <c r="I31" t="n">
        <v>2.9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24976-2022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44728</v>
      </c>
      <c r="E32" s="1" t="n">
        <v>46316</v>
      </c>
      <c r="F32" t="inlineStr">
        <is>
          <t>VÄSTRA GÖTALANDS LÄN</t>
        </is>
      </c>
      <c r="G32" t="inlineStr">
        <is>
          <t>SKARA</t>
        </is>
      </c>
      <c r="I32" t="n">
        <v>0.8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4409-2022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44589</v>
      </c>
      <c r="E33" s="1" t="n">
        <v>46316</v>
      </c>
      <c r="F33" t="inlineStr">
        <is>
          <t>VÄSTRA GÖTALANDS LÄN</t>
        </is>
      </c>
      <c r="G33" t="inlineStr">
        <is>
          <t>SKARA</t>
        </is>
      </c>
      <c r="I33" t="n">
        <v>0.6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38210-2022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44812</v>
      </c>
      <c r="E34" s="1" t="n">
        <v>46316</v>
      </c>
      <c r="F34" t="inlineStr">
        <is>
          <t>VÄSTRA GÖTALANDS LÄN</t>
        </is>
      </c>
      <c r="G34" t="inlineStr">
        <is>
          <t>SKARA</t>
        </is>
      </c>
      <c r="I34" t="n">
        <v>3.4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68932-2021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44530</v>
      </c>
      <c r="E35" s="1" t="n">
        <v>46316</v>
      </c>
      <c r="F35" t="inlineStr">
        <is>
          <t>VÄSTRA GÖTALANDS LÄN</t>
        </is>
      </c>
      <c r="G35" t="inlineStr">
        <is>
          <t>SKARA</t>
        </is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40164-2022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44818</v>
      </c>
      <c r="E36" s="1" t="n">
        <v>46316</v>
      </c>
      <c r="F36" t="inlineStr">
        <is>
          <t>VÄSTRA GÖTALANDS LÄN</t>
        </is>
      </c>
      <c r="G36" t="inlineStr">
        <is>
          <t>SKARA</t>
        </is>
      </c>
      <c r="I36" t="n">
        <v>1.3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26567-2024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45469</v>
      </c>
      <c r="E37" s="1" t="n">
        <v>46316</v>
      </c>
      <c r="F37" t="inlineStr">
        <is>
          <t>VÄSTRA GÖTALANDS LÄN</t>
        </is>
      </c>
      <c r="G37" t="inlineStr">
        <is>
          <t>SKARA</t>
        </is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18017-2024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45420</v>
      </c>
      <c r="E38" s="1" t="n">
        <v>46316</v>
      </c>
      <c r="F38" t="inlineStr">
        <is>
          <t>VÄSTRA GÖTALANDS LÄN</t>
        </is>
      </c>
      <c r="G38" t="inlineStr">
        <is>
          <t>SKARA</t>
        </is>
      </c>
      <c r="H38" t="inlineStr">
        <is>
          <t>Sveaskog</t>
        </is>
      </c>
      <c r="I38" t="n">
        <v>4.6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20470-2024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45435</v>
      </c>
      <c r="E39" s="1" t="n">
        <v>46316</v>
      </c>
      <c r="F39" t="inlineStr">
        <is>
          <t>VÄSTRA GÖTALANDS LÄN</t>
        </is>
      </c>
      <c r="G39" t="inlineStr">
        <is>
          <t>SKARA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18616-2025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45763</v>
      </c>
      <c r="E40" s="1" t="n">
        <v>46316</v>
      </c>
      <c r="F40" t="inlineStr">
        <is>
          <t>VÄSTRA GÖTALANDS LÄN</t>
        </is>
      </c>
      <c r="G40" t="inlineStr">
        <is>
          <t>SKARA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42301-2023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45180</v>
      </c>
      <c r="E41" s="1" t="n">
        <v>46316</v>
      </c>
      <c r="F41" t="inlineStr">
        <is>
          <t>VÄSTRA GÖTALANDS LÄN</t>
        </is>
      </c>
      <c r="G41" t="inlineStr">
        <is>
          <t>SKARA</t>
        </is>
      </c>
      <c r="I41" t="n">
        <v>1.1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40264-2024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45554</v>
      </c>
      <c r="E42" s="1" t="n">
        <v>46316</v>
      </c>
      <c r="F42" t="inlineStr">
        <is>
          <t>VÄSTRA GÖTALANDS LÄN</t>
        </is>
      </c>
      <c r="G42" t="inlineStr">
        <is>
          <t>SKARA</t>
        </is>
      </c>
      <c r="I42" t="n">
        <v>2.8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30083-2023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45110</v>
      </c>
      <c r="E43" s="1" t="n">
        <v>46316</v>
      </c>
      <c r="F43" t="inlineStr">
        <is>
          <t>VÄSTRA GÖTALANDS LÄN</t>
        </is>
      </c>
      <c r="G43" t="inlineStr">
        <is>
          <t>SKARA</t>
        </is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59842-2022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44908</v>
      </c>
      <c r="E44" s="1" t="n">
        <v>46316</v>
      </c>
      <c r="F44" t="inlineStr">
        <is>
          <t>VÄSTRA GÖTALANDS LÄN</t>
        </is>
      </c>
      <c r="G44" t="inlineStr">
        <is>
          <t>SKARA</t>
        </is>
      </c>
      <c r="I44" t="n">
        <v>3.5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31128-2023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45113</v>
      </c>
      <c r="E45" s="1" t="n">
        <v>46316</v>
      </c>
      <c r="F45" t="inlineStr">
        <is>
          <t>VÄSTRA GÖTALANDS LÄN</t>
        </is>
      </c>
      <c r="G45" t="inlineStr">
        <is>
          <t>SKARA</t>
        </is>
      </c>
      <c r="I45" t="n">
        <v>0.8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60086-2024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45642</v>
      </c>
      <c r="E46" s="1" t="n">
        <v>46316</v>
      </c>
      <c r="F46" t="inlineStr">
        <is>
          <t>VÄSTRA GÖTALANDS LÄN</t>
        </is>
      </c>
      <c r="G46" t="inlineStr">
        <is>
          <t>SKARA</t>
        </is>
      </c>
      <c r="I46" t="n">
        <v>3.8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1567-2023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44937</v>
      </c>
      <c r="E47" s="1" t="n">
        <v>46316</v>
      </c>
      <c r="F47" t="inlineStr">
        <is>
          <t>VÄSTRA GÖTALANDS LÄN</t>
        </is>
      </c>
      <c r="G47" t="inlineStr">
        <is>
          <t>SKARA</t>
        </is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8701-2023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44978</v>
      </c>
      <c r="E48" s="1" t="n">
        <v>46316</v>
      </c>
      <c r="F48" t="inlineStr">
        <is>
          <t>VÄSTRA GÖTALANDS LÄN</t>
        </is>
      </c>
      <c r="G48" t="inlineStr">
        <is>
          <t>SKARA</t>
        </is>
      </c>
      <c r="I48" t="n">
        <v>1.7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26084-2023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45091</v>
      </c>
      <c r="E49" s="1" t="n">
        <v>46316</v>
      </c>
      <c r="F49" t="inlineStr">
        <is>
          <t>VÄSTRA GÖTALANDS LÄN</t>
        </is>
      </c>
      <c r="G49" t="inlineStr">
        <is>
          <t>SKARA</t>
        </is>
      </c>
      <c r="I49" t="n">
        <v>0.6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29255-2025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45824</v>
      </c>
      <c r="E50" s="1" t="n">
        <v>46316</v>
      </c>
      <c r="F50" t="inlineStr">
        <is>
          <t>VÄSTRA GÖTALANDS LÄN</t>
        </is>
      </c>
      <c r="G50" t="inlineStr">
        <is>
          <t>SKARA</t>
        </is>
      </c>
      <c r="I50" t="n">
        <v>1.7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25219-2025</t>
        </is>
      </c>
      <c r="B51" t="inlineStr">
        <is>
          <t>avverkningsanmälan</t>
        </is>
      </c>
      <c r="C51" t="inlineStr">
        <is>
          <t>Avverkning för annat ändamål</t>
        </is>
      </c>
      <c r="D51" s="1" t="n">
        <v>45800</v>
      </c>
      <c r="E51" s="1" t="n">
        <v>46316</v>
      </c>
      <c r="F51" t="inlineStr">
        <is>
          <t>VÄSTRA GÖTALANDS LÄN</t>
        </is>
      </c>
      <c r="G51" t="inlineStr">
        <is>
          <t>SKARA</t>
        </is>
      </c>
      <c r="I51" t="n">
        <v>0.7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62779-2025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46008</v>
      </c>
      <c r="E52" s="1" t="n">
        <v>46316</v>
      </c>
      <c r="F52" t="inlineStr">
        <is>
          <t>VÄSTRA GÖTALANDS LÄN</t>
        </is>
      </c>
      <c r="G52" t="inlineStr">
        <is>
          <t>SKARA</t>
        </is>
      </c>
      <c r="H52" t="inlineStr">
        <is>
          <t>Kyrkan</t>
        </is>
      </c>
      <c r="I52" t="n">
        <v>2.7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39365-2025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45889</v>
      </c>
      <c r="E53" s="1" t="n">
        <v>46316</v>
      </c>
      <c r="F53" t="inlineStr">
        <is>
          <t>VÄSTRA GÖTALANDS LÄN</t>
        </is>
      </c>
      <c r="G53" t="inlineStr">
        <is>
          <t>SKARA</t>
        </is>
      </c>
      <c r="H53" t="inlineStr">
        <is>
          <t>Sveaskog</t>
        </is>
      </c>
      <c r="I53" t="n">
        <v>3.7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39367-2025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45889</v>
      </c>
      <c r="E54" s="1" t="n">
        <v>46316</v>
      </c>
      <c r="F54" t="inlineStr">
        <is>
          <t>VÄSTRA GÖTALANDS LÄN</t>
        </is>
      </c>
      <c r="G54" t="inlineStr">
        <is>
          <t>SKARA</t>
        </is>
      </c>
      <c r="H54" t="inlineStr">
        <is>
          <t>Sveaskog</t>
        </is>
      </c>
      <c r="I54" t="n">
        <v>2.4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2110-2024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45309</v>
      </c>
      <c r="E55" s="1" t="n">
        <v>46316</v>
      </c>
      <c r="F55" t="inlineStr">
        <is>
          <t>VÄSTRA GÖTALANDS LÄN</t>
        </is>
      </c>
      <c r="G55" t="inlineStr">
        <is>
          <t>SKARA</t>
        </is>
      </c>
      <c r="I55" t="n">
        <v>4.2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39492-2025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45890</v>
      </c>
      <c r="E56" s="1" t="n">
        <v>46316</v>
      </c>
      <c r="F56" t="inlineStr">
        <is>
          <t>VÄSTRA GÖTALANDS LÄN</t>
        </is>
      </c>
      <c r="G56" t="inlineStr">
        <is>
          <t>SKARA</t>
        </is>
      </c>
      <c r="H56" t="inlineStr">
        <is>
          <t>Sveaskog</t>
        </is>
      </c>
      <c r="I56" t="n">
        <v>2.4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39494-2025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45890</v>
      </c>
      <c r="E57" s="1" t="n">
        <v>46316</v>
      </c>
      <c r="F57" t="inlineStr">
        <is>
          <t>VÄSTRA GÖTALANDS LÄN</t>
        </is>
      </c>
      <c r="G57" t="inlineStr">
        <is>
          <t>SKARA</t>
        </is>
      </c>
      <c r="H57" t="inlineStr">
        <is>
          <t>Sveaskog</t>
        </is>
      </c>
      <c r="I57" t="n">
        <v>3.7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6366-2025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45699</v>
      </c>
      <c r="E58" s="1" t="n">
        <v>46316</v>
      </c>
      <c r="F58" t="inlineStr">
        <is>
          <t>VÄSTRA GÖTALANDS LÄN</t>
        </is>
      </c>
      <c r="G58" t="inlineStr">
        <is>
          <t>SKARA</t>
        </is>
      </c>
      <c r="H58" t="inlineStr">
        <is>
          <t>Sveaskog</t>
        </is>
      </c>
      <c r="I58" t="n">
        <v>2.4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25153-2024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45462</v>
      </c>
      <c r="E59" s="1" t="n">
        <v>46316</v>
      </c>
      <c r="F59" t="inlineStr">
        <is>
          <t>VÄSTRA GÖTALANDS LÄN</t>
        </is>
      </c>
      <c r="G59" t="inlineStr">
        <is>
          <t>SKARA</t>
        </is>
      </c>
      <c r="I59" t="n">
        <v>0.8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3144-2023</t>
        </is>
      </c>
      <c r="B60" t="inlineStr">
        <is>
          <t>avverkningsanmälan</t>
        </is>
      </c>
      <c r="C60" t="inlineStr">
        <is>
          <t>Avverkning för annat ändamål</t>
        </is>
      </c>
      <c r="D60" s="1" t="n">
        <v>44946</v>
      </c>
      <c r="E60" s="1" t="n">
        <v>46316</v>
      </c>
      <c r="F60" t="inlineStr">
        <is>
          <t>VÄSTRA GÖTALANDS LÄN</t>
        </is>
      </c>
      <c r="G60" t="inlineStr">
        <is>
          <t>SKARA</t>
        </is>
      </c>
      <c r="I60" t="n">
        <v>7.3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14844-2024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45398</v>
      </c>
      <c r="E61" s="1" t="n">
        <v>46316</v>
      </c>
      <c r="F61" t="inlineStr">
        <is>
          <t>VÄSTRA GÖTALANDS LÄN</t>
        </is>
      </c>
      <c r="G61" t="inlineStr">
        <is>
          <t>SKARA</t>
        </is>
      </c>
      <c r="H61" t="inlineStr">
        <is>
          <t>Kommuner</t>
        </is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28041-2025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45817</v>
      </c>
      <c r="E62" s="1" t="n">
        <v>46316</v>
      </c>
      <c r="F62" t="inlineStr">
        <is>
          <t>VÄSTRA GÖTALANDS LÄN</t>
        </is>
      </c>
      <c r="G62" t="inlineStr">
        <is>
          <t>SKARA</t>
        </is>
      </c>
      <c r="I62" t="n">
        <v>0.9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28738-2025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45820</v>
      </c>
      <c r="E63" s="1" t="n">
        <v>46316</v>
      </c>
      <c r="F63" t="inlineStr">
        <is>
          <t>VÄSTRA GÖTALANDS LÄN</t>
        </is>
      </c>
      <c r="G63" t="inlineStr">
        <is>
          <t>SKARA</t>
        </is>
      </c>
      <c r="H63" t="inlineStr">
        <is>
          <t>Sveaskog</t>
        </is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57258-2022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44895</v>
      </c>
      <c r="E64" s="1" t="n">
        <v>46316</v>
      </c>
      <c r="F64" t="inlineStr">
        <is>
          <t>VÄSTRA GÖTALANDS LÄN</t>
        </is>
      </c>
      <c r="G64" t="inlineStr">
        <is>
          <t>SKARA</t>
        </is>
      </c>
      <c r="I64" t="n">
        <v>4.3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55246-2022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44887</v>
      </c>
      <c r="E65" s="1" t="n">
        <v>46316</v>
      </c>
      <c r="F65" t="inlineStr">
        <is>
          <t>VÄSTRA GÖTALANDS LÄN</t>
        </is>
      </c>
      <c r="G65" t="inlineStr">
        <is>
          <t>SKARA</t>
        </is>
      </c>
      <c r="I65" t="n">
        <v>2.8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55247-2022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44887</v>
      </c>
      <c r="E66" s="1" t="n">
        <v>46316</v>
      </c>
      <c r="F66" t="inlineStr">
        <is>
          <t>VÄSTRA GÖTALANDS LÄN</t>
        </is>
      </c>
      <c r="G66" t="inlineStr">
        <is>
          <t>SKARA</t>
        </is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62890-2023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45272</v>
      </c>
      <c r="E67" s="1" t="n">
        <v>46316</v>
      </c>
      <c r="F67" t="inlineStr">
        <is>
          <t>VÄSTRA GÖTALANDS LÄN</t>
        </is>
      </c>
      <c r="G67" t="inlineStr">
        <is>
          <t>SKARA</t>
        </is>
      </c>
      <c r="I67" t="n">
        <v>7.6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4542-2025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45687</v>
      </c>
      <c r="E68" s="1" t="n">
        <v>46316</v>
      </c>
      <c r="F68" t="inlineStr">
        <is>
          <t>VÄSTRA GÖTALANDS LÄN</t>
        </is>
      </c>
      <c r="G68" t="inlineStr">
        <is>
          <t>SKARA</t>
        </is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44819-2025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45918</v>
      </c>
      <c r="E69" s="1" t="n">
        <v>46316</v>
      </c>
      <c r="F69" t="inlineStr">
        <is>
          <t>VÄSTRA GÖTALANDS LÄN</t>
        </is>
      </c>
      <c r="G69" t="inlineStr">
        <is>
          <t>SKARA</t>
        </is>
      </c>
      <c r="H69" t="inlineStr">
        <is>
          <t>Sveaskog</t>
        </is>
      </c>
      <c r="I69" t="n">
        <v>0.7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30479-2023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45111</v>
      </c>
      <c r="E70" s="1" t="n">
        <v>46316</v>
      </c>
      <c r="F70" t="inlineStr">
        <is>
          <t>VÄSTRA GÖTALANDS LÄN</t>
        </is>
      </c>
      <c r="G70" t="inlineStr">
        <is>
          <t>SKARA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46155-2025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45924</v>
      </c>
      <c r="E71" s="1" t="n">
        <v>46316</v>
      </c>
      <c r="F71" t="inlineStr">
        <is>
          <t>VÄSTRA GÖTALANDS LÄN</t>
        </is>
      </c>
      <c r="G71" t="inlineStr">
        <is>
          <t>SKARA</t>
        </is>
      </c>
      <c r="H71" t="inlineStr">
        <is>
          <t>Kyrkan</t>
        </is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46211-2025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45924</v>
      </c>
      <c r="E72" s="1" t="n">
        <v>46316</v>
      </c>
      <c r="F72" t="inlineStr">
        <is>
          <t>VÄSTRA GÖTALANDS LÄN</t>
        </is>
      </c>
      <c r="G72" t="inlineStr">
        <is>
          <t>SKARA</t>
        </is>
      </c>
      <c r="H72" t="inlineStr">
        <is>
          <t>Kyrkan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46183-2025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45924</v>
      </c>
      <c r="E73" s="1" t="n">
        <v>46316</v>
      </c>
      <c r="F73" t="inlineStr">
        <is>
          <t>VÄSTRA GÖTALANDS LÄN</t>
        </is>
      </c>
      <c r="G73" t="inlineStr">
        <is>
          <t>SKARA</t>
        </is>
      </c>
      <c r="H73" t="inlineStr">
        <is>
          <t>Kyrkan</t>
        </is>
      </c>
      <c r="I73" t="n">
        <v>1.8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46203-2025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45924</v>
      </c>
      <c r="E74" s="1" t="n">
        <v>46316</v>
      </c>
      <c r="F74" t="inlineStr">
        <is>
          <t>VÄSTRA GÖTALANDS LÄN</t>
        </is>
      </c>
      <c r="G74" t="inlineStr">
        <is>
          <t>SKARA</t>
        </is>
      </c>
      <c r="H74" t="inlineStr">
        <is>
          <t>Kyrkan</t>
        </is>
      </c>
      <c r="I74" t="n">
        <v>2.8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7522-2026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46059</v>
      </c>
      <c r="E75" s="1" t="n">
        <v>46316</v>
      </c>
      <c r="F75" t="inlineStr">
        <is>
          <t>VÄSTRA GÖTALANDS LÄN</t>
        </is>
      </c>
      <c r="G75" t="inlineStr">
        <is>
          <t>SKARA</t>
        </is>
      </c>
      <c r="I75" t="n">
        <v>8.4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7530-2026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46059</v>
      </c>
      <c r="E76" s="1" t="n">
        <v>46316</v>
      </c>
      <c r="F76" t="inlineStr">
        <is>
          <t>VÄSTRA GÖTALANDS LÄN</t>
        </is>
      </c>
      <c r="G76" t="inlineStr">
        <is>
          <t>SKARA</t>
        </is>
      </c>
      <c r="I76" t="n">
        <v>1.6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7946-2023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44973</v>
      </c>
      <c r="E77" s="1" t="n">
        <v>46316</v>
      </c>
      <c r="F77" t="inlineStr">
        <is>
          <t>VÄSTRA GÖTALANDS LÄN</t>
        </is>
      </c>
      <c r="G77" t="inlineStr">
        <is>
          <t>SKARA</t>
        </is>
      </c>
      <c r="I77" t="n">
        <v>6.8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47010-2025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45929</v>
      </c>
      <c r="E78" s="1" t="n">
        <v>46316</v>
      </c>
      <c r="F78" t="inlineStr">
        <is>
          <t>VÄSTRA GÖTALANDS LÄN</t>
        </is>
      </c>
      <c r="G78" t="inlineStr">
        <is>
          <t>SKARA</t>
        </is>
      </c>
      <c r="I78" t="n">
        <v>2.5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10176-2025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45719</v>
      </c>
      <c r="E79" s="1" t="n">
        <v>46316</v>
      </c>
      <c r="F79" t="inlineStr">
        <is>
          <t>VÄSTRA GÖTALANDS LÄN</t>
        </is>
      </c>
      <c r="G79" t="inlineStr">
        <is>
          <t>SKARA</t>
        </is>
      </c>
      <c r="I79" t="n">
        <v>0.6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26575-2024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45469</v>
      </c>
      <c r="E80" s="1" t="n">
        <v>46316</v>
      </c>
      <c r="F80" t="inlineStr">
        <is>
          <t>VÄSTRA GÖTALANDS LÄN</t>
        </is>
      </c>
      <c r="G80" t="inlineStr">
        <is>
          <t>SKARA</t>
        </is>
      </c>
      <c r="I80" t="n">
        <v>2.7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48088-2025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45932</v>
      </c>
      <c r="E81" s="1" t="n">
        <v>46316</v>
      </c>
      <c r="F81" t="inlineStr">
        <is>
          <t>VÄSTRA GÖTALANDS LÄN</t>
        </is>
      </c>
      <c r="G81" t="inlineStr">
        <is>
          <t>SKARA</t>
        </is>
      </c>
      <c r="I81" t="n">
        <v>0.7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9691-2026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46072</v>
      </c>
      <c r="E82" s="1" t="n">
        <v>46316</v>
      </c>
      <c r="F82" t="inlineStr">
        <is>
          <t>VÄSTRA GÖTALANDS LÄN</t>
        </is>
      </c>
      <c r="G82" t="inlineStr">
        <is>
          <t>SKARA</t>
        </is>
      </c>
      <c r="I82" t="n">
        <v>1.1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50590-2025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45945</v>
      </c>
      <c r="E83" s="1" t="n">
        <v>46316</v>
      </c>
      <c r="F83" t="inlineStr">
        <is>
          <t>VÄSTRA GÖTALANDS LÄN</t>
        </is>
      </c>
      <c r="G83" t="inlineStr">
        <is>
          <t>SKARA</t>
        </is>
      </c>
      <c r="H83" t="inlineStr">
        <is>
          <t>Sveaskog</t>
        </is>
      </c>
      <c r="I83" t="n">
        <v>1.9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12332-2026</t>
        </is>
      </c>
      <c r="B84" t="inlineStr">
        <is>
          <t>avverkningsanmälan</t>
        </is>
      </c>
      <c r="C84" t="inlineStr">
        <is>
          <t>Avverkning för annat ändamål</t>
        </is>
      </c>
      <c r="D84" s="1" t="n">
        <v>46087</v>
      </c>
      <c r="E84" s="1" t="n">
        <v>46316</v>
      </c>
      <c r="F84" t="inlineStr">
        <is>
          <t>VÄSTRA GÖTALANDS LÄN</t>
        </is>
      </c>
      <c r="G84" t="inlineStr">
        <is>
          <t>SKARA</t>
        </is>
      </c>
      <c r="I84" t="n">
        <v>1.1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13276-2026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46093</v>
      </c>
      <c r="E85" s="1" t="n">
        <v>46316</v>
      </c>
      <c r="F85" t="inlineStr">
        <is>
          <t>VÄSTRA GÖTALANDS LÄN</t>
        </is>
      </c>
      <c r="G85" t="inlineStr">
        <is>
          <t>SKARA</t>
        </is>
      </c>
      <c r="I85" t="n">
        <v>1.1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13063-2026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46093</v>
      </c>
      <c r="E86" s="1" t="n">
        <v>46316</v>
      </c>
      <c r="F86" t="inlineStr">
        <is>
          <t>VÄSTRA GÖTALANDS LÄN</t>
        </is>
      </c>
      <c r="G86" t="inlineStr">
        <is>
          <t>SKARA</t>
        </is>
      </c>
      <c r="H86" t="inlineStr">
        <is>
          <t>Sveaskog</t>
        </is>
      </c>
      <c r="I86" t="n">
        <v>1.3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14422-2026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46100</v>
      </c>
      <c r="E87" s="1" t="n">
        <v>46316</v>
      </c>
      <c r="F87" t="inlineStr">
        <is>
          <t>VÄSTRA GÖTALANDS LÄN</t>
        </is>
      </c>
      <c r="G87" t="inlineStr">
        <is>
          <t>SKARA</t>
        </is>
      </c>
      <c r="H87" t="inlineStr">
        <is>
          <t>Sveaskog</t>
        </is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53170-2025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45958</v>
      </c>
      <c r="E88" s="1" t="n">
        <v>46316</v>
      </c>
      <c r="F88" t="inlineStr">
        <is>
          <t>VÄSTRA GÖTALANDS LÄN</t>
        </is>
      </c>
      <c r="G88" t="inlineStr">
        <is>
          <t>SKARA</t>
        </is>
      </c>
      <c r="I88" t="n">
        <v>1.2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14597-2026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46101</v>
      </c>
      <c r="E89" s="1" t="n">
        <v>46316</v>
      </c>
      <c r="F89" t="inlineStr">
        <is>
          <t>VÄSTRA GÖTALANDS LÄN</t>
        </is>
      </c>
      <c r="G89" t="inlineStr">
        <is>
          <t>SKARA</t>
        </is>
      </c>
      <c r="I89" t="n">
        <v>5.9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15425-2026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46106</v>
      </c>
      <c r="E90" s="1" t="n">
        <v>46316</v>
      </c>
      <c r="F90" t="inlineStr">
        <is>
          <t>VÄSTRA GÖTALANDS LÄN</t>
        </is>
      </c>
      <c r="G90" t="inlineStr">
        <is>
          <t>SKARA</t>
        </is>
      </c>
      <c r="H90" t="inlineStr">
        <is>
          <t>Sveaskog</t>
        </is>
      </c>
      <c r="I90" t="n">
        <v>2.8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15438-2026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46106</v>
      </c>
      <c r="E91" s="1" t="n">
        <v>46316</v>
      </c>
      <c r="F91" t="inlineStr">
        <is>
          <t>VÄSTRA GÖTALANDS LÄN</t>
        </is>
      </c>
      <c r="G91" t="inlineStr">
        <is>
          <t>SKARA</t>
        </is>
      </c>
      <c r="H91" t="inlineStr">
        <is>
          <t>Sveaskog</t>
        </is>
      </c>
      <c r="I91" t="n">
        <v>4.2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12937-2024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45385</v>
      </c>
      <c r="E92" s="1" t="n">
        <v>46316</v>
      </c>
      <c r="F92" t="inlineStr">
        <is>
          <t>VÄSTRA GÖTALANDS LÄN</t>
        </is>
      </c>
      <c r="G92" t="inlineStr">
        <is>
          <t>SKARA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53527-2025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45960</v>
      </c>
      <c r="E93" s="1" t="n">
        <v>46316</v>
      </c>
      <c r="F93" t="inlineStr">
        <is>
          <t>VÄSTRA GÖTALANDS LÄN</t>
        </is>
      </c>
      <c r="G93" t="inlineStr">
        <is>
          <t>SKARA</t>
        </is>
      </c>
      <c r="H93" t="inlineStr">
        <is>
          <t>Kyrkan</t>
        </is>
      </c>
      <c r="I93" t="n">
        <v>3.7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15429-2026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46106</v>
      </c>
      <c r="E94" s="1" t="n">
        <v>46316</v>
      </c>
      <c r="F94" t="inlineStr">
        <is>
          <t>VÄSTRA GÖTALANDS LÄN</t>
        </is>
      </c>
      <c r="G94" t="inlineStr">
        <is>
          <t>SKARA</t>
        </is>
      </c>
      <c r="H94" t="inlineStr">
        <is>
          <t>Sveaskog</t>
        </is>
      </c>
      <c r="I94" t="n">
        <v>0.6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16085-2026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46108</v>
      </c>
      <c r="E95" s="1" t="n">
        <v>46316</v>
      </c>
      <c r="F95" t="inlineStr">
        <is>
          <t>VÄSTRA GÖTALANDS LÄN</t>
        </is>
      </c>
      <c r="G95" t="inlineStr">
        <is>
          <t>SKARA</t>
        </is>
      </c>
      <c r="I95" t="n">
        <v>4.2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16199-2026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46111</v>
      </c>
      <c r="E96" s="1" t="n">
        <v>46316</v>
      </c>
      <c r="F96" t="inlineStr">
        <is>
          <t>VÄSTRA GÖTALANDS LÄN</t>
        </is>
      </c>
      <c r="G96" t="inlineStr">
        <is>
          <t>SKARA</t>
        </is>
      </c>
      <c r="I96" t="n">
        <v>3.9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16201-2026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46111</v>
      </c>
      <c r="E97" s="1" t="n">
        <v>46316</v>
      </c>
      <c r="F97" t="inlineStr">
        <is>
          <t>VÄSTRA GÖTALANDS LÄN</t>
        </is>
      </c>
      <c r="G97" t="inlineStr">
        <is>
          <t>SKARA</t>
        </is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30515-2024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45492</v>
      </c>
      <c r="E98" s="1" t="n">
        <v>46316</v>
      </c>
      <c r="F98" t="inlineStr">
        <is>
          <t>VÄSTRA GÖTALANDS LÄN</t>
        </is>
      </c>
      <c r="G98" t="inlineStr">
        <is>
          <t>SKARA</t>
        </is>
      </c>
      <c r="I98" t="n">
        <v>1.3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16198-2026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46111</v>
      </c>
      <c r="E99" s="1" t="n">
        <v>46316</v>
      </c>
      <c r="F99" t="inlineStr">
        <is>
          <t>VÄSTRA GÖTALANDS LÄN</t>
        </is>
      </c>
      <c r="G99" t="inlineStr">
        <is>
          <t>SKARA</t>
        </is>
      </c>
      <c r="I99" t="n">
        <v>3.2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1198-2025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45667</v>
      </c>
      <c r="E100" s="1" t="n">
        <v>46316</v>
      </c>
      <c r="F100" t="inlineStr">
        <is>
          <t>VÄSTRA GÖTALANDS LÄN</t>
        </is>
      </c>
      <c r="G100" t="inlineStr">
        <is>
          <t>SKARA</t>
        </is>
      </c>
      <c r="H100" t="inlineStr">
        <is>
          <t>Sveaskog</t>
        </is>
      </c>
      <c r="I100" t="n">
        <v>3.5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16187-2026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46111</v>
      </c>
      <c r="E101" s="1" t="n">
        <v>46316</v>
      </c>
      <c r="F101" t="inlineStr">
        <is>
          <t>VÄSTRA GÖTALANDS LÄN</t>
        </is>
      </c>
      <c r="G101" t="inlineStr">
        <is>
          <t>SKARA</t>
        </is>
      </c>
      <c r="I101" t="n">
        <v>1.3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16755-2026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46113</v>
      </c>
      <c r="E102" s="1" t="n">
        <v>46316</v>
      </c>
      <c r="F102" t="inlineStr">
        <is>
          <t>VÄSTRA GÖTALANDS LÄN</t>
        </is>
      </c>
      <c r="G102" t="inlineStr">
        <is>
          <t>SKARA</t>
        </is>
      </c>
      <c r="H102" t="inlineStr">
        <is>
          <t>Sveaskog</t>
        </is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17288-2026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46119</v>
      </c>
      <c r="E103" s="1" t="n">
        <v>46316</v>
      </c>
      <c r="F103" t="inlineStr">
        <is>
          <t>VÄSTRA GÖTALANDS LÄN</t>
        </is>
      </c>
      <c r="G103" t="inlineStr">
        <is>
          <t>SKARA</t>
        </is>
      </c>
      <c r="I103" t="n">
        <v>1.5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32844-2025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45839</v>
      </c>
      <c r="E104" s="1" t="n">
        <v>46316</v>
      </c>
      <c r="F104" t="inlineStr">
        <is>
          <t>VÄSTRA GÖTALANDS LÄN</t>
        </is>
      </c>
      <c r="G104" t="inlineStr">
        <is>
          <t>SKARA</t>
        </is>
      </c>
      <c r="I104" t="n">
        <v>1.6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37036-2024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45539</v>
      </c>
      <c r="E105" s="1" t="n">
        <v>46316</v>
      </c>
      <c r="F105" t="inlineStr">
        <is>
          <t>VÄSTRA GÖTALANDS LÄN</t>
        </is>
      </c>
      <c r="G105" t="inlineStr">
        <is>
          <t>SKARA</t>
        </is>
      </c>
      <c r="H105" t="inlineStr">
        <is>
          <t>Sveaskog</t>
        </is>
      </c>
      <c r="I105" t="n">
        <v>8.199999999999999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56274-2025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45974</v>
      </c>
      <c r="E106" s="1" t="n">
        <v>46316</v>
      </c>
      <c r="F106" t="inlineStr">
        <is>
          <t>VÄSTRA GÖTALANDS LÄN</t>
        </is>
      </c>
      <c r="G106" t="inlineStr">
        <is>
          <t>SKARA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32850-2025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45839</v>
      </c>
      <c r="E107" s="1" t="n">
        <v>46316</v>
      </c>
      <c r="F107" t="inlineStr">
        <is>
          <t>VÄSTRA GÖTALANDS LÄN</t>
        </is>
      </c>
      <c r="G107" t="inlineStr">
        <is>
          <t>SKARA</t>
        </is>
      </c>
      <c r="I107" t="n">
        <v>0.8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18890-2026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46129</v>
      </c>
      <c r="E108" s="1" t="n">
        <v>46316</v>
      </c>
      <c r="F108" t="inlineStr">
        <is>
          <t>VÄSTRA GÖTALANDS LÄN</t>
        </is>
      </c>
      <c r="G108" t="inlineStr">
        <is>
          <t>SKARA</t>
        </is>
      </c>
      <c r="H108" t="inlineStr">
        <is>
          <t>Sveaskog</t>
        </is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515-2024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45299</v>
      </c>
      <c r="E109" s="1" t="n">
        <v>46316</v>
      </c>
      <c r="F109" t="inlineStr">
        <is>
          <t>VÄSTRA GÖTALANDS LÄN</t>
        </is>
      </c>
      <c r="G109" t="inlineStr">
        <is>
          <t>SKARA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64551-2023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45281</v>
      </c>
      <c r="E110" s="1" t="n">
        <v>46316</v>
      </c>
      <c r="F110" t="inlineStr">
        <is>
          <t>VÄSTRA GÖTALANDS LÄN</t>
        </is>
      </c>
      <c r="G110" t="inlineStr">
        <is>
          <t>SKARA</t>
        </is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4306-2023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44953</v>
      </c>
      <c r="E111" s="1" t="n">
        <v>46316</v>
      </c>
      <c r="F111" t="inlineStr">
        <is>
          <t>VÄSTRA GÖTALANDS LÄN</t>
        </is>
      </c>
      <c r="G111" t="inlineStr">
        <is>
          <t>SKARA</t>
        </is>
      </c>
      <c r="I111" t="n">
        <v>3.7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33095-2025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45840</v>
      </c>
      <c r="E112" s="1" t="n">
        <v>46316</v>
      </c>
      <c r="F112" t="inlineStr">
        <is>
          <t>VÄSTRA GÖTALANDS LÄN</t>
        </is>
      </c>
      <c r="G112" t="inlineStr">
        <is>
          <t>SKARA</t>
        </is>
      </c>
      <c r="I112" t="n">
        <v>0.6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9006-2022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44615</v>
      </c>
      <c r="E113" s="1" t="n">
        <v>46316</v>
      </c>
      <c r="F113" t="inlineStr">
        <is>
          <t>VÄSTRA GÖTALANDS LÄN</t>
        </is>
      </c>
      <c r="G113" t="inlineStr">
        <is>
          <t>SKARA</t>
        </is>
      </c>
      <c r="I113" t="n">
        <v>0.9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60233-2023</t>
        </is>
      </c>
      <c r="B114" t="inlineStr">
        <is>
          <t>avverkningsanmälan</t>
        </is>
      </c>
      <c r="C114" t="inlineStr">
        <is>
          <t>Avverkning för annat ändamål</t>
        </is>
      </c>
      <c r="D114" s="1" t="n">
        <v>45258</v>
      </c>
      <c r="E114" s="1" t="n">
        <v>46316</v>
      </c>
      <c r="F114" t="inlineStr">
        <is>
          <t>VÄSTRA GÖTALANDS LÄN</t>
        </is>
      </c>
      <c r="G114" t="inlineStr">
        <is>
          <t>SKARA</t>
        </is>
      </c>
      <c r="I114" t="n">
        <v>1.5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7233-2023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44970</v>
      </c>
      <c r="E115" s="1" t="n">
        <v>46316</v>
      </c>
      <c r="F115" t="inlineStr">
        <is>
          <t>VÄSTRA GÖTALANDS LÄN</t>
        </is>
      </c>
      <c r="G115" t="inlineStr">
        <is>
          <t>SKARA</t>
        </is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48098-2022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44856</v>
      </c>
      <c r="E116" s="1" t="n">
        <v>46316</v>
      </c>
      <c r="F116" t="inlineStr">
        <is>
          <t>VÄSTRA GÖTALANDS LÄN</t>
        </is>
      </c>
      <c r="G116" t="inlineStr">
        <is>
          <t>SKARA</t>
        </is>
      </c>
      <c r="I116" t="n">
        <v>1.2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49002-2022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44860</v>
      </c>
      <c r="E117" s="1" t="n">
        <v>46316</v>
      </c>
      <c r="F117" t="inlineStr">
        <is>
          <t>VÄSTRA GÖTALANDS LÄN</t>
        </is>
      </c>
      <c r="G117" t="inlineStr">
        <is>
          <t>SKARA</t>
        </is>
      </c>
      <c r="I117" t="n">
        <v>1.1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20721-2025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45776</v>
      </c>
      <c r="E118" s="1" t="n">
        <v>46316</v>
      </c>
      <c r="F118" t="inlineStr">
        <is>
          <t>VÄSTRA GÖTALANDS LÄN</t>
        </is>
      </c>
      <c r="G118" t="inlineStr">
        <is>
          <t>SKARA</t>
        </is>
      </c>
      <c r="I118" t="n">
        <v>0.9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61324-2025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46001</v>
      </c>
      <c r="E119" s="1" t="n">
        <v>46316</v>
      </c>
      <c r="F119" t="inlineStr">
        <is>
          <t>VÄSTRA GÖTALANDS LÄN</t>
        </is>
      </c>
      <c r="G119" t="inlineStr">
        <is>
          <t>SKARA</t>
        </is>
      </c>
      <c r="H119" t="inlineStr">
        <is>
          <t>Sveaskog</t>
        </is>
      </c>
      <c r="I119" t="n">
        <v>0.7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26091-2023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45091</v>
      </c>
      <c r="E120" s="1" t="n">
        <v>46316</v>
      </c>
      <c r="F120" t="inlineStr">
        <is>
          <t>VÄSTRA GÖTALANDS LÄN</t>
        </is>
      </c>
      <c r="G120" t="inlineStr">
        <is>
          <t>SKARA</t>
        </is>
      </c>
      <c r="I120" t="n">
        <v>0.5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18704-2022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44687</v>
      </c>
      <c r="E121" s="1" t="n">
        <v>46316</v>
      </c>
      <c r="F121" t="inlineStr">
        <is>
          <t>VÄSTRA GÖTALANDS LÄN</t>
        </is>
      </c>
      <c r="G121" t="inlineStr">
        <is>
          <t>SKARA</t>
        </is>
      </c>
      <c r="H121" t="inlineStr">
        <is>
          <t>Kommuner</t>
        </is>
      </c>
      <c r="I121" t="n">
        <v>3.9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38548-2025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45883</v>
      </c>
      <c r="E122" s="1" t="n">
        <v>46316</v>
      </c>
      <c r="F122" t="inlineStr">
        <is>
          <t>VÄSTRA GÖTALANDS LÄN</t>
        </is>
      </c>
      <c r="G122" t="inlineStr">
        <is>
          <t>SKARA</t>
        </is>
      </c>
      <c r="I122" t="n">
        <v>4.9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18606-2025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45763</v>
      </c>
      <c r="E123" s="1" t="n">
        <v>46316</v>
      </c>
      <c r="F123" t="inlineStr">
        <is>
          <t>VÄSTRA GÖTALANDS LÄN</t>
        </is>
      </c>
      <c r="G123" t="inlineStr">
        <is>
          <t>SKARA</t>
        </is>
      </c>
      <c r="I123" t="n">
        <v>2.9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5825-2024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45335</v>
      </c>
      <c r="E124" s="1" t="n">
        <v>46316</v>
      </c>
      <c r="F124" t="inlineStr">
        <is>
          <t>VÄSTRA GÖTALANDS LÄN</t>
        </is>
      </c>
      <c r="G124" t="inlineStr">
        <is>
          <t>SKARA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46185-2023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45196</v>
      </c>
      <c r="E125" s="1" t="n">
        <v>46316</v>
      </c>
      <c r="F125" t="inlineStr">
        <is>
          <t>VÄSTRA GÖTALANDS LÄN</t>
        </is>
      </c>
      <c r="G125" t="inlineStr">
        <is>
          <t>SKARA</t>
        </is>
      </c>
      <c r="I125" t="n">
        <v>0.9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25407-2025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45800</v>
      </c>
      <c r="E126" s="1" t="n">
        <v>46316</v>
      </c>
      <c r="F126" t="inlineStr">
        <is>
          <t>VÄSTRA GÖTALANDS LÄN</t>
        </is>
      </c>
      <c r="G126" t="inlineStr">
        <is>
          <t>SKARA</t>
        </is>
      </c>
      <c r="I126" t="n">
        <v>2.1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9117-2025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45713</v>
      </c>
      <c r="E127" s="1" t="n">
        <v>46316</v>
      </c>
      <c r="F127" t="inlineStr">
        <is>
          <t>VÄSTRA GÖTALANDS LÄN</t>
        </is>
      </c>
      <c r="G127" t="inlineStr">
        <is>
          <t>SKARA</t>
        </is>
      </c>
      <c r="I127" t="n">
        <v>2.3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41562-2022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44827</v>
      </c>
      <c r="E128" s="1" t="n">
        <v>46316</v>
      </c>
      <c r="F128" t="inlineStr">
        <is>
          <t>VÄSTRA GÖTALANDS LÄN</t>
        </is>
      </c>
      <c r="G128" t="inlineStr">
        <is>
          <t>SKARA</t>
        </is>
      </c>
      <c r="I128" t="n">
        <v>0.8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30513-2024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45492</v>
      </c>
      <c r="E129" s="1" t="n">
        <v>46316</v>
      </c>
      <c r="F129" t="inlineStr">
        <is>
          <t>VÄSTRA GÖTALANDS LÄN</t>
        </is>
      </c>
      <c r="G129" t="inlineStr">
        <is>
          <t>SKARA</t>
        </is>
      </c>
      <c r="I129" t="n">
        <v>2.9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27980-2023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45098</v>
      </c>
      <c r="E130" s="1" t="n">
        <v>46316</v>
      </c>
      <c r="F130" t="inlineStr">
        <is>
          <t>VÄSTRA GÖTALANDS LÄN</t>
        </is>
      </c>
      <c r="G130" t="inlineStr">
        <is>
          <t>SKARA</t>
        </is>
      </c>
      <c r="H130" t="inlineStr">
        <is>
          <t>Sveaskog</t>
        </is>
      </c>
      <c r="I130" t="n">
        <v>1.9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10827-2023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44990</v>
      </c>
      <c r="E131" s="1" t="n">
        <v>46316</v>
      </c>
      <c r="F131" t="inlineStr">
        <is>
          <t>VÄSTRA GÖTALANDS LÄN</t>
        </is>
      </c>
      <c r="G131" t="inlineStr">
        <is>
          <t>SKARA</t>
        </is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55211-2024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45621</v>
      </c>
      <c r="E132" s="1" t="n">
        <v>46316</v>
      </c>
      <c r="F132" t="inlineStr">
        <is>
          <t>VÄSTRA GÖTALANDS LÄN</t>
        </is>
      </c>
      <c r="G132" t="inlineStr">
        <is>
          <t>SKARA</t>
        </is>
      </c>
      <c r="I132" t="n">
        <v>4.7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56922-2024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45628</v>
      </c>
      <c r="E133" s="1" t="n">
        <v>46316</v>
      </c>
      <c r="F133" t="inlineStr">
        <is>
          <t>VÄSTRA GÖTALANDS LÄN</t>
        </is>
      </c>
      <c r="G133" t="inlineStr">
        <is>
          <t>SKARA</t>
        </is>
      </c>
      <c r="I133" t="n">
        <v>0.6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37032-2025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45874</v>
      </c>
      <c r="E134" s="1" t="n">
        <v>46316</v>
      </c>
      <c r="F134" t="inlineStr">
        <is>
          <t>VÄSTRA GÖTALANDS LÄN</t>
        </is>
      </c>
      <c r="G134" t="inlineStr">
        <is>
          <t>SKARA</t>
        </is>
      </c>
      <c r="I134" t="n">
        <v>5.9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25176-2023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45086</v>
      </c>
      <c r="E135" s="1" t="n">
        <v>46316</v>
      </c>
      <c r="F135" t="inlineStr">
        <is>
          <t>VÄSTRA GÖTALANDS LÄN</t>
        </is>
      </c>
      <c r="G135" t="inlineStr">
        <is>
          <t>SKARA</t>
        </is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17705-2025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45758</v>
      </c>
      <c r="E136" s="1" t="n">
        <v>46316</v>
      </c>
      <c r="F136" t="inlineStr">
        <is>
          <t>VÄSTRA GÖTALANDS LÄN</t>
        </is>
      </c>
      <c r="G136" t="inlineStr">
        <is>
          <t>SKARA</t>
        </is>
      </c>
      <c r="H136" t="inlineStr">
        <is>
          <t>Sveaskog</t>
        </is>
      </c>
      <c r="I136" t="n">
        <v>1.5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17709-2025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45758</v>
      </c>
      <c r="E137" s="1" t="n">
        <v>46316</v>
      </c>
      <c r="F137" t="inlineStr">
        <is>
          <t>VÄSTRA GÖTALANDS LÄN</t>
        </is>
      </c>
      <c r="G137" t="inlineStr">
        <is>
          <t>SKARA</t>
        </is>
      </c>
      <c r="H137" t="inlineStr">
        <is>
          <t>Sveaskog</t>
        </is>
      </c>
      <c r="I137" t="n">
        <v>2.8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1566-2023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44937</v>
      </c>
      <c r="E138" s="1" t="n">
        <v>46316</v>
      </c>
      <c r="F138" t="inlineStr">
        <is>
          <t>VÄSTRA GÖTALANDS LÄN</t>
        </is>
      </c>
      <c r="G138" t="inlineStr">
        <is>
          <t>SKARA</t>
        </is>
      </c>
      <c r="I138" t="n">
        <v>1.1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9118-2025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45713</v>
      </c>
      <c r="E139" s="1" t="n">
        <v>46316</v>
      </c>
      <c r="F139" t="inlineStr">
        <is>
          <t>VÄSTRA GÖTALANDS LÄN</t>
        </is>
      </c>
      <c r="G139" t="inlineStr">
        <is>
          <t>SKARA</t>
        </is>
      </c>
      <c r="I139" t="n">
        <v>2.7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23457-2026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46163</v>
      </c>
      <c r="E140" s="1" t="n">
        <v>46316</v>
      </c>
      <c r="F140" t="inlineStr">
        <is>
          <t>VÄSTRA GÖTALANDS LÄN</t>
        </is>
      </c>
      <c r="G140" t="inlineStr">
        <is>
          <t>SKARA</t>
        </is>
      </c>
      <c r="H140" t="inlineStr">
        <is>
          <t>Sveaskog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3822-2022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44587</v>
      </c>
      <c r="E141" s="1" t="n">
        <v>46316</v>
      </c>
      <c r="F141" t="inlineStr">
        <is>
          <t>VÄSTRA GÖTALANDS LÄN</t>
        </is>
      </c>
      <c r="G141" t="inlineStr">
        <is>
          <t>SKARA</t>
        </is>
      </c>
      <c r="H141" t="inlineStr">
        <is>
          <t>Sveaskog</t>
        </is>
      </c>
      <c r="I141" t="n">
        <v>0.6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23452-2026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46163</v>
      </c>
      <c r="E142" s="1" t="n">
        <v>46316</v>
      </c>
      <c r="F142" t="inlineStr">
        <is>
          <t>VÄSTRA GÖTALANDS LÄN</t>
        </is>
      </c>
      <c r="G142" t="inlineStr">
        <is>
          <t>SKARA</t>
        </is>
      </c>
      <c r="H142" t="inlineStr">
        <is>
          <t>Sveaskog</t>
        </is>
      </c>
      <c r="I142" t="n">
        <v>4.7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24145-2026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46168</v>
      </c>
      <c r="E143" s="1" t="n">
        <v>46316</v>
      </c>
      <c r="F143" t="inlineStr">
        <is>
          <t>VÄSTRA GÖTALANDS LÄN</t>
        </is>
      </c>
      <c r="G143" t="inlineStr">
        <is>
          <t>SKARA</t>
        </is>
      </c>
      <c r="I143" t="n">
        <v>1.2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24142-2026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46168</v>
      </c>
      <c r="E144" s="1" t="n">
        <v>46316</v>
      </c>
      <c r="F144" t="inlineStr">
        <is>
          <t>VÄSTRA GÖTALANDS LÄN</t>
        </is>
      </c>
      <c r="G144" t="inlineStr">
        <is>
          <t>SKARA</t>
        </is>
      </c>
      <c r="I144" t="n">
        <v>2.4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24143-2026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46168</v>
      </c>
      <c r="E145" s="1" t="n">
        <v>46316</v>
      </c>
      <c r="F145" t="inlineStr">
        <is>
          <t>VÄSTRA GÖTALANDS LÄN</t>
        </is>
      </c>
      <c r="G145" t="inlineStr">
        <is>
          <t>SKARA</t>
        </is>
      </c>
      <c r="I145" t="n">
        <v>1.9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516-2024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45299</v>
      </c>
      <c r="E146" s="1" t="n">
        <v>46316</v>
      </c>
      <c r="F146" t="inlineStr">
        <is>
          <t>VÄSTRA GÖTALANDS LÄN</t>
        </is>
      </c>
      <c r="G146" t="inlineStr">
        <is>
          <t>SKARA</t>
        </is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46190-2023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45196</v>
      </c>
      <c r="E147" s="1" t="n">
        <v>46316</v>
      </c>
      <c r="F147" t="inlineStr">
        <is>
          <t>VÄSTRA GÖTALANDS LÄN</t>
        </is>
      </c>
      <c r="G147" t="inlineStr">
        <is>
          <t>SKARA</t>
        </is>
      </c>
      <c r="I147" t="n">
        <v>1.1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20870-2022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44701</v>
      </c>
      <c r="E148" s="1" t="n">
        <v>46316</v>
      </c>
      <c r="F148" t="inlineStr">
        <is>
          <t>VÄSTRA GÖTALANDS LÄN</t>
        </is>
      </c>
      <c r="G148" t="inlineStr">
        <is>
          <t>SKARA</t>
        </is>
      </c>
      <c r="I148" t="n">
        <v>2.5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20098-2022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44698</v>
      </c>
      <c r="E149" s="1" t="n">
        <v>46316</v>
      </c>
      <c r="F149" t="inlineStr">
        <is>
          <t>VÄSTRA GÖTALANDS LÄN</t>
        </is>
      </c>
      <c r="G149" t="inlineStr">
        <is>
          <t>SKARA</t>
        </is>
      </c>
      <c r="I149" t="n">
        <v>1.8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26333-2026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46182</v>
      </c>
      <c r="E150" s="1" t="n">
        <v>46316</v>
      </c>
      <c r="F150" t="inlineStr">
        <is>
          <t>VÄSTRA GÖTALANDS LÄN</t>
        </is>
      </c>
      <c r="G150" t="inlineStr">
        <is>
          <t>SKARA</t>
        </is>
      </c>
      <c r="I150" t="n">
        <v>1.8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27478-2026</t>
        </is>
      </c>
      <c r="B151" t="inlineStr">
        <is>
          <t>avverkningsanmälan</t>
        </is>
      </c>
      <c r="C151" t="inlineStr">
        <is>
          <t>Avverkning för att bevara och utveckla /försöksver</t>
        </is>
      </c>
      <c r="D151" s="1" t="n">
        <v>46189</v>
      </c>
      <c r="E151" s="1" t="n">
        <v>46316</v>
      </c>
      <c r="F151" t="inlineStr">
        <is>
          <t>VÄSTRA GÖTALANDS LÄN</t>
        </is>
      </c>
      <c r="G151" t="inlineStr">
        <is>
          <t>SKARA</t>
        </is>
      </c>
      <c r="I151" t="n">
        <v>2.1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60840-2021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44497</v>
      </c>
      <c r="E152" s="1" t="n">
        <v>46316</v>
      </c>
      <c r="F152" t="inlineStr">
        <is>
          <t>VÄSTRA GÖTALANDS LÄN</t>
        </is>
      </c>
      <c r="G152" t="inlineStr">
        <is>
          <t>SKARA</t>
        </is>
      </c>
      <c r="I152" t="n">
        <v>4.6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52383-2023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45224</v>
      </c>
      <c r="E153" s="1" t="n">
        <v>46316</v>
      </c>
      <c r="F153" t="inlineStr">
        <is>
          <t>VÄSTRA GÖTALANDS LÄN</t>
        </is>
      </c>
      <c r="G153" t="inlineStr">
        <is>
          <t>SKARA</t>
        </is>
      </c>
      <c r="I153" t="n">
        <v>0.8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35217-2023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45145</v>
      </c>
      <c r="E154" s="1" t="n">
        <v>46316</v>
      </c>
      <c r="F154" t="inlineStr">
        <is>
          <t>VÄSTRA GÖTALANDS LÄN</t>
        </is>
      </c>
      <c r="G154" t="inlineStr">
        <is>
          <t>SKARA</t>
        </is>
      </c>
      <c r="I154" t="n">
        <v>0.7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16510-2024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45408</v>
      </c>
      <c r="E155" s="1" t="n">
        <v>46316</v>
      </c>
      <c r="F155" t="inlineStr">
        <is>
          <t>VÄSTRA GÖTALANDS LÄN</t>
        </is>
      </c>
      <c r="G155" t="inlineStr">
        <is>
          <t>SKARA</t>
        </is>
      </c>
      <c r="H155" t="inlineStr">
        <is>
          <t>Sveaskog</t>
        </is>
      </c>
      <c r="I155" t="n">
        <v>1.5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8781-2024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45356</v>
      </c>
      <c r="E156" s="1" t="n">
        <v>46316</v>
      </c>
      <c r="F156" t="inlineStr">
        <is>
          <t>VÄSTRA GÖTALANDS LÄN</t>
        </is>
      </c>
      <c r="G156" t="inlineStr">
        <is>
          <t>SKARA</t>
        </is>
      </c>
      <c r="I156" t="n">
        <v>0.8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36041-2023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45149</v>
      </c>
      <c r="E157" s="1" t="n">
        <v>46316</v>
      </c>
      <c r="F157" t="inlineStr">
        <is>
          <t>VÄSTRA GÖTALANDS LÄN</t>
        </is>
      </c>
      <c r="G157" t="inlineStr">
        <is>
          <t>SKARA</t>
        </is>
      </c>
      <c r="I157" t="n">
        <v>3.1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36045-2023</t>
        </is>
      </c>
      <c r="B158" t="inlineStr">
        <is>
          <t>avverkningsanmälan</t>
        </is>
      </c>
      <c r="C158" t="inlineStr">
        <is>
          <t>Avverkning för annat ändamål</t>
        </is>
      </c>
      <c r="D158" s="1" t="n">
        <v>45149</v>
      </c>
      <c r="E158" s="1" t="n">
        <v>46316</v>
      </c>
      <c r="F158" t="inlineStr">
        <is>
          <t>VÄSTRA GÖTALANDS LÄN</t>
        </is>
      </c>
      <c r="G158" t="inlineStr">
        <is>
          <t>SKARA</t>
        </is>
      </c>
      <c r="I158" t="n">
        <v>0.4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64553-2023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45281</v>
      </c>
      <c r="E159" s="1" t="n">
        <v>46316</v>
      </c>
      <c r="F159" t="inlineStr">
        <is>
          <t>VÄSTRA GÖTALANDS LÄN</t>
        </is>
      </c>
      <c r="G159" t="inlineStr">
        <is>
          <t>SKARA</t>
        </is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57238-2022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44895</v>
      </c>
      <c r="E160" s="1" t="n">
        <v>46316</v>
      </c>
      <c r="F160" t="inlineStr">
        <is>
          <t>VÄSTRA GÖTALANDS LÄN</t>
        </is>
      </c>
      <c r="G160" t="inlineStr">
        <is>
          <t>SKARA</t>
        </is>
      </c>
      <c r="I160" t="n">
        <v>0.9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45159-2022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44844</v>
      </c>
      <c r="E161" s="1" t="n">
        <v>46316</v>
      </c>
      <c r="F161" t="inlineStr">
        <is>
          <t>VÄSTRA GÖTALANDS LÄN</t>
        </is>
      </c>
      <c r="G161" t="inlineStr">
        <is>
          <t>SKARA</t>
        </is>
      </c>
      <c r="I161" t="n">
        <v>1.1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42874-2022</t>
        </is>
      </c>
      <c r="B162" t="inlineStr">
        <is>
          <t>avverkningsanmälan</t>
        </is>
      </c>
      <c r="C162" t="inlineStr">
        <is>
          <t>Avverkning för annat ändamål</t>
        </is>
      </c>
      <c r="D162" s="1" t="n">
        <v>44832</v>
      </c>
      <c r="E162" s="1" t="n">
        <v>46316</v>
      </c>
      <c r="F162" t="inlineStr">
        <is>
          <t>VÄSTRA GÖTALANDS LÄN</t>
        </is>
      </c>
      <c r="G162" t="inlineStr">
        <is>
          <t>SKARA</t>
        </is>
      </c>
      <c r="I162" t="n">
        <v>2.3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29478-2026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46203</v>
      </c>
      <c r="E163" s="1" t="n">
        <v>46316</v>
      </c>
      <c r="F163" t="inlineStr">
        <is>
          <t>VÄSTRA GÖTALANDS LÄN</t>
        </is>
      </c>
      <c r="G163" t="inlineStr">
        <is>
          <t>SKARA</t>
        </is>
      </c>
      <c r="H163" t="inlineStr">
        <is>
          <t>Kyrkan</t>
        </is>
      </c>
      <c r="I163" t="n">
        <v>2.9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26480-2024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45469</v>
      </c>
      <c r="E164" s="1" t="n">
        <v>46316</v>
      </c>
      <c r="F164" t="inlineStr">
        <is>
          <t>VÄSTRA GÖTALANDS LÄN</t>
        </is>
      </c>
      <c r="G164" t="inlineStr">
        <is>
          <t>SKARA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24144-2026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46168</v>
      </c>
      <c r="E165" s="1" t="n">
        <v>46316</v>
      </c>
      <c r="F165" t="inlineStr">
        <is>
          <t>VÄSTRA GÖTALANDS LÄN</t>
        </is>
      </c>
      <c r="G165" t="inlineStr">
        <is>
          <t>SKARA</t>
        </is>
      </c>
      <c r="I165" t="n">
        <v>2.6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26482-2024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45469</v>
      </c>
      <c r="E166" s="1" t="n">
        <v>46316</v>
      </c>
      <c r="F166" t="inlineStr">
        <is>
          <t>VÄSTRA GÖTALANDS LÄN</t>
        </is>
      </c>
      <c r="G166" t="inlineStr">
        <is>
          <t>SKARA</t>
        </is>
      </c>
      <c r="I166" t="n">
        <v>3.2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2472-2024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45313</v>
      </c>
      <c r="E167" s="1" t="n">
        <v>46316</v>
      </c>
      <c r="F167" t="inlineStr">
        <is>
          <t>VÄSTRA GÖTALANDS LÄN</t>
        </is>
      </c>
      <c r="G167" t="inlineStr">
        <is>
          <t>SKARA</t>
        </is>
      </c>
      <c r="I167" t="n">
        <v>1.1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18701-2022</t>
        </is>
      </c>
      <c r="B168" t="inlineStr">
        <is>
          <t>avverkningsanmälan</t>
        </is>
      </c>
      <c r="C168" t="inlineStr">
        <is>
          <t>Avverkning för annat ändamål</t>
        </is>
      </c>
      <c r="D168" s="1" t="n">
        <v>44687</v>
      </c>
      <c r="E168" s="1" t="n">
        <v>46316</v>
      </c>
      <c r="F168" t="inlineStr">
        <is>
          <t>VÄSTRA GÖTALANDS LÄN</t>
        </is>
      </c>
      <c r="G168" t="inlineStr">
        <is>
          <t>SKARA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18739-2023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45043</v>
      </c>
      <c r="E169" s="1" t="n">
        <v>46316</v>
      </c>
      <c r="F169" t="inlineStr">
        <is>
          <t>VÄSTRA GÖTALANDS LÄN</t>
        </is>
      </c>
      <c r="G169" t="inlineStr">
        <is>
          <t>SKARA</t>
        </is>
      </c>
      <c r="I169" t="n">
        <v>2.7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38007-2026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46280</v>
      </c>
      <c r="E170" s="1" t="n">
        <v>46316</v>
      </c>
      <c r="F170" t="inlineStr">
        <is>
          <t>VÄSTRA GÖTALANDS LÄN</t>
        </is>
      </c>
      <c r="G170" t="inlineStr">
        <is>
          <t>SKARA</t>
        </is>
      </c>
      <c r="I170" t="n">
        <v>5.2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50043-2023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45215</v>
      </c>
      <c r="E171" s="1" t="n">
        <v>46316</v>
      </c>
      <c r="F171" t="inlineStr">
        <is>
          <t>VÄSTRA GÖTALANDS LÄN</t>
        </is>
      </c>
      <c r="G171" t="inlineStr">
        <is>
          <t>SKARA</t>
        </is>
      </c>
      <c r="I171" t="n">
        <v>0.4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5559-2023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44957</v>
      </c>
      <c r="E172" s="1" t="n">
        <v>46316</v>
      </c>
      <c r="F172" t="inlineStr">
        <is>
          <t>VÄSTRA GÖTALANDS LÄN</t>
        </is>
      </c>
      <c r="G172" t="inlineStr">
        <is>
          <t>SKARA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15927-2023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45022</v>
      </c>
      <c r="E173" s="1" t="n">
        <v>46316</v>
      </c>
      <c r="F173" t="inlineStr">
        <is>
          <t>VÄSTRA GÖTALANDS LÄN</t>
        </is>
      </c>
      <c r="G173" t="inlineStr">
        <is>
          <t>SKARA</t>
        </is>
      </c>
      <c r="I173" t="n">
        <v>1.9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60654-2021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44496</v>
      </c>
      <c r="E174" s="1" t="n">
        <v>46316</v>
      </c>
      <c r="F174" t="inlineStr">
        <is>
          <t>VÄSTRA GÖTALANDS LÄN</t>
        </is>
      </c>
      <c r="G174" t="inlineStr">
        <is>
          <t>SKARA</t>
        </is>
      </c>
      <c r="I174" t="n">
        <v>0.6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39263-2026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46288</v>
      </c>
      <c r="E175" s="1" t="n">
        <v>46316</v>
      </c>
      <c r="F175" t="inlineStr">
        <is>
          <t>VÄSTRA GÖTALANDS LÄN</t>
        </is>
      </c>
      <c r="G175" t="inlineStr">
        <is>
          <t>SKARA</t>
        </is>
      </c>
      <c r="H175" t="inlineStr">
        <is>
          <t>Sveaskog</t>
        </is>
      </c>
      <c r="I175" t="n">
        <v>1.9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39265-2026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46288</v>
      </c>
      <c r="E176" s="1" t="n">
        <v>46316</v>
      </c>
      <c r="F176" t="inlineStr">
        <is>
          <t>VÄSTRA GÖTALANDS LÄN</t>
        </is>
      </c>
      <c r="G176" t="inlineStr">
        <is>
          <t>SKARA</t>
        </is>
      </c>
      <c r="H176" t="inlineStr">
        <is>
          <t>Sveaskog</t>
        </is>
      </c>
      <c r="I176" t="n">
        <v>1.9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33190-2026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46246</v>
      </c>
      <c r="E177" s="1" t="n">
        <v>46316</v>
      </c>
      <c r="F177" t="inlineStr">
        <is>
          <t>VÄSTRA GÖTALANDS LÄN</t>
        </is>
      </c>
      <c r="G177" t="inlineStr">
        <is>
          <t>SKARA</t>
        </is>
      </c>
      <c r="H177" t="inlineStr">
        <is>
          <t>Kyrkan</t>
        </is>
      </c>
      <c r="I177" t="n">
        <v>4.7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27265-2023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45096</v>
      </c>
      <c r="E178" s="1" t="n">
        <v>46316</v>
      </c>
      <c r="F178" t="inlineStr">
        <is>
          <t>VÄSTRA GÖTALANDS LÄN</t>
        </is>
      </c>
      <c r="G178" t="inlineStr">
        <is>
          <t>SKARA</t>
        </is>
      </c>
      <c r="I178" t="n">
        <v>3.7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30069-2023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45110</v>
      </c>
      <c r="E179" s="1" t="n">
        <v>46316</v>
      </c>
      <c r="F179" t="inlineStr">
        <is>
          <t>VÄSTRA GÖTALANDS LÄN</t>
        </is>
      </c>
      <c r="G179" t="inlineStr">
        <is>
          <t>SKARA</t>
        </is>
      </c>
      <c r="I179" t="n">
        <v>1.3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30079-2023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45110</v>
      </c>
      <c r="E180" s="1" t="n">
        <v>46316</v>
      </c>
      <c r="F180" t="inlineStr">
        <is>
          <t>VÄSTRA GÖTALANDS LÄN</t>
        </is>
      </c>
      <c r="G180" t="inlineStr">
        <is>
          <t>SKARA</t>
        </is>
      </c>
      <c r="I180" t="n">
        <v>0.7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33219-2026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46246</v>
      </c>
      <c r="E181" s="1" t="n">
        <v>46316</v>
      </c>
      <c r="F181" t="inlineStr">
        <is>
          <t>VÄSTRA GÖTALANDS LÄN</t>
        </is>
      </c>
      <c r="G181" t="inlineStr">
        <is>
          <t>SKARA</t>
        </is>
      </c>
      <c r="H181" t="inlineStr">
        <is>
          <t>Sveaskog</t>
        </is>
      </c>
      <c r="I181" t="n">
        <v>3.9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33469-2026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46247</v>
      </c>
      <c r="E182" s="1" t="n">
        <v>46316</v>
      </c>
      <c r="F182" t="inlineStr">
        <is>
          <t>VÄSTRA GÖTALANDS LÄN</t>
        </is>
      </c>
      <c r="G182" t="inlineStr">
        <is>
          <t>SKARA</t>
        </is>
      </c>
      <c r="H182" t="inlineStr">
        <is>
          <t>Sveaskog</t>
        </is>
      </c>
      <c r="I182" t="n">
        <v>1.7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39888-2026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46290</v>
      </c>
      <c r="E183" s="1" t="n">
        <v>46316</v>
      </c>
      <c r="F183" t="inlineStr">
        <is>
          <t>VÄSTRA GÖTALANDS LÄN</t>
        </is>
      </c>
      <c r="G183" t="inlineStr">
        <is>
          <t>SKARA</t>
        </is>
      </c>
      <c r="I183" t="n">
        <v>0.6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40319-2026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46294</v>
      </c>
      <c r="E184" s="1" t="n">
        <v>46316</v>
      </c>
      <c r="F184" t="inlineStr">
        <is>
          <t>VÄSTRA GÖTALANDS LÄN</t>
        </is>
      </c>
      <c r="G184" t="inlineStr">
        <is>
          <t>SKARA</t>
        </is>
      </c>
      <c r="I184" t="n">
        <v>2.3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40366-2026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46294</v>
      </c>
      <c r="E185" s="1" t="n">
        <v>46316</v>
      </c>
      <c r="F185" t="inlineStr">
        <is>
          <t>VÄSTRA GÖTALANDS LÄN</t>
        </is>
      </c>
      <c r="G185" t="inlineStr">
        <is>
          <t>SKARA</t>
        </is>
      </c>
      <c r="I185" t="n">
        <v>7.6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40371-2026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46294</v>
      </c>
      <c r="E186" s="1" t="n">
        <v>46316</v>
      </c>
      <c r="F186" t="inlineStr">
        <is>
          <t>VÄSTRA GÖTALANDS LÄN</t>
        </is>
      </c>
      <c r="G186" t="inlineStr">
        <is>
          <t>SKARA</t>
        </is>
      </c>
      <c r="I186" t="n">
        <v>5.8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40369-2026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46294</v>
      </c>
      <c r="E187" s="1" t="n">
        <v>46316</v>
      </c>
      <c r="F187" t="inlineStr">
        <is>
          <t>VÄSTRA GÖTALANDS LÄN</t>
        </is>
      </c>
      <c r="G187" t="inlineStr">
        <is>
          <t>SKARA</t>
        </is>
      </c>
      <c r="I187" t="n">
        <v>4.6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40357-2026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46294</v>
      </c>
      <c r="E188" s="1" t="n">
        <v>46316</v>
      </c>
      <c r="F188" t="inlineStr">
        <is>
          <t>VÄSTRA GÖTALANDS LÄN</t>
        </is>
      </c>
      <c r="G188" t="inlineStr">
        <is>
          <t>SKARA</t>
        </is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40359-2026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46294</v>
      </c>
      <c r="E189" s="1" t="n">
        <v>46316</v>
      </c>
      <c r="F189" t="inlineStr">
        <is>
          <t>VÄSTRA GÖTALANDS LÄN</t>
        </is>
      </c>
      <c r="G189" t="inlineStr">
        <is>
          <t>SKARA</t>
        </is>
      </c>
      <c r="I189" t="n">
        <v>3.2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40286-2026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46294</v>
      </c>
      <c r="E190" s="1" t="n">
        <v>46316</v>
      </c>
      <c r="F190" t="inlineStr">
        <is>
          <t>VÄSTRA GÖTALANDS LÄN</t>
        </is>
      </c>
      <c r="G190" t="inlineStr">
        <is>
          <t>SKARA</t>
        </is>
      </c>
      <c r="I190" t="n">
        <v>4.1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34569-2023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45140</v>
      </c>
      <c r="E191" s="1" t="n">
        <v>46316</v>
      </c>
      <c r="F191" t="inlineStr">
        <is>
          <t>VÄSTRA GÖTALANDS LÄN</t>
        </is>
      </c>
      <c r="G191" t="inlineStr">
        <is>
          <t>SKARA</t>
        </is>
      </c>
      <c r="I191" t="n">
        <v>0.5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2701-2024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45314</v>
      </c>
      <c r="E192" s="1" t="n">
        <v>46316</v>
      </c>
      <c r="F192" t="inlineStr">
        <is>
          <t>VÄSTRA GÖTALANDS LÄN</t>
        </is>
      </c>
      <c r="G192" t="inlineStr">
        <is>
          <t>SKARA</t>
        </is>
      </c>
      <c r="I192" t="n">
        <v>0.4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11902-2023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44995</v>
      </c>
      <c r="E193" s="1" t="n">
        <v>46316</v>
      </c>
      <c r="F193" t="inlineStr">
        <is>
          <t>VÄSTRA GÖTALANDS LÄN</t>
        </is>
      </c>
      <c r="G193" t="inlineStr">
        <is>
          <t>SKARA</t>
        </is>
      </c>
      <c r="I193" t="n">
        <v>13.5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10913-2024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45370</v>
      </c>
      <c r="E194" s="1" t="n">
        <v>46316</v>
      </c>
      <c r="F194" t="inlineStr">
        <is>
          <t>VÄSTRA GÖTALANDS LÄN</t>
        </is>
      </c>
      <c r="G194" t="inlineStr">
        <is>
          <t>SKARA</t>
        </is>
      </c>
      <c r="I194" t="n">
        <v>0.8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34752-2026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46258</v>
      </c>
      <c r="E195" s="1" t="n">
        <v>46316</v>
      </c>
      <c r="F195" t="inlineStr">
        <is>
          <t>VÄSTRA GÖTALANDS LÄN</t>
        </is>
      </c>
      <c r="G195" t="inlineStr">
        <is>
          <t>SKARA</t>
        </is>
      </c>
      <c r="I195" t="n">
        <v>0.5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41260-2026</t>
        </is>
      </c>
      <c r="B196" t="inlineStr">
        <is>
          <t>avverkningsanmälan</t>
        </is>
      </c>
      <c r="C196" t="inlineStr">
        <is>
          <t>Avverkning för att bevara och utveckla /försöksver</t>
        </is>
      </c>
      <c r="D196" s="1" t="n">
        <v>46300</v>
      </c>
      <c r="E196" s="1" t="n">
        <v>46316</v>
      </c>
      <c r="F196" t="inlineStr">
        <is>
          <t>VÄSTRA GÖTALANDS LÄN</t>
        </is>
      </c>
      <c r="G196" t="inlineStr">
        <is>
          <t>SKARA</t>
        </is>
      </c>
      <c r="I196" t="n">
        <v>3.9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27668-2022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44743</v>
      </c>
      <c r="E197" s="1" t="n">
        <v>46316</v>
      </c>
      <c r="F197" t="inlineStr">
        <is>
          <t>VÄSTRA GÖTALANDS LÄN</t>
        </is>
      </c>
      <c r="G197" t="inlineStr">
        <is>
          <t>SKARA</t>
        </is>
      </c>
      <c r="I197" t="n">
        <v>3.7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28073-2023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45099</v>
      </c>
      <c r="E198" s="1" t="n">
        <v>46316</v>
      </c>
      <c r="F198" t="inlineStr">
        <is>
          <t>VÄSTRA GÖTALANDS LÄN</t>
        </is>
      </c>
      <c r="G198" t="inlineStr">
        <is>
          <t>SKARA</t>
        </is>
      </c>
      <c r="I198" t="n">
        <v>3.8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38205-2022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44812</v>
      </c>
      <c r="E199" s="1" t="n">
        <v>46316</v>
      </c>
      <c r="F199" t="inlineStr">
        <is>
          <t>VÄSTRA GÖTALANDS LÄN</t>
        </is>
      </c>
      <c r="G199" t="inlineStr">
        <is>
          <t>SKARA</t>
        </is>
      </c>
      <c r="I199" t="n">
        <v>1.8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55202-2024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45621</v>
      </c>
      <c r="E200" s="1" t="n">
        <v>46316</v>
      </c>
      <c r="F200" t="inlineStr">
        <is>
          <t>VÄSTRA GÖTALANDS LÄN</t>
        </is>
      </c>
      <c r="G200" t="inlineStr">
        <is>
          <t>SKARA</t>
        </is>
      </c>
      <c r="I200" t="n">
        <v>4.4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26268-2023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45091</v>
      </c>
      <c r="E201" s="1" t="n">
        <v>46316</v>
      </c>
      <c r="F201" t="inlineStr">
        <is>
          <t>VÄSTRA GÖTALANDS LÄN</t>
        </is>
      </c>
      <c r="G201" t="inlineStr">
        <is>
          <t>SKARA</t>
        </is>
      </c>
      <c r="I201" t="n">
        <v>21.6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38149-2026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46281</v>
      </c>
      <c r="E202" s="1" t="n">
        <v>46316</v>
      </c>
      <c r="F202" t="inlineStr">
        <is>
          <t>VÄSTRA GÖTALANDS LÄN</t>
        </is>
      </c>
      <c r="G202" t="inlineStr">
        <is>
          <t>SKARA</t>
        </is>
      </c>
      <c r="I202" t="n">
        <v>0.8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56849-2022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44894</v>
      </c>
      <c r="E203" s="1" t="n">
        <v>46316</v>
      </c>
      <c r="F203" t="inlineStr">
        <is>
          <t>VÄSTRA GÖTALANDS LÄN</t>
        </is>
      </c>
      <c r="G203" t="inlineStr">
        <is>
          <t>SKARA</t>
        </is>
      </c>
      <c r="I203" t="n">
        <v>1.5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59996-2022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44909</v>
      </c>
      <c r="E204" s="1" t="n">
        <v>46316</v>
      </c>
      <c r="F204" t="inlineStr">
        <is>
          <t>VÄSTRA GÖTALANDS LÄN</t>
        </is>
      </c>
      <c r="G204" t="inlineStr">
        <is>
          <t>SKARA</t>
        </is>
      </c>
      <c r="I204" t="n">
        <v>0.6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38146-2026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46281</v>
      </c>
      <c r="E205" s="1" t="n">
        <v>46316</v>
      </c>
      <c r="F205" t="inlineStr">
        <is>
          <t>VÄSTRA GÖTALANDS LÄN</t>
        </is>
      </c>
      <c r="G205" t="inlineStr">
        <is>
          <t>SKARA</t>
        </is>
      </c>
      <c r="I205" t="n">
        <v>2.3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65124-2023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45288</v>
      </c>
      <c r="E206" s="1" t="n">
        <v>46316</v>
      </c>
      <c r="F206" t="inlineStr">
        <is>
          <t>VÄSTRA GÖTALANDS LÄN</t>
        </is>
      </c>
      <c r="G206" t="inlineStr">
        <is>
          <t>SKARA</t>
        </is>
      </c>
      <c r="I206" t="n">
        <v>3.2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52381-2023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45224</v>
      </c>
      <c r="E207" s="1" t="n">
        <v>46316</v>
      </c>
      <c r="F207" t="inlineStr">
        <is>
          <t>VÄSTRA GÖTALANDS LÄN</t>
        </is>
      </c>
      <c r="G207" t="inlineStr">
        <is>
          <t>SKARA</t>
        </is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22870-2024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45448</v>
      </c>
      <c r="E208" s="1" t="n">
        <v>46316</v>
      </c>
      <c r="F208" t="inlineStr">
        <is>
          <t>VÄSTRA GÖTALANDS LÄN</t>
        </is>
      </c>
      <c r="G208" t="inlineStr">
        <is>
          <t>SKARA</t>
        </is>
      </c>
      <c r="H208" t="inlineStr">
        <is>
          <t>Sveaskog</t>
        </is>
      </c>
      <c r="I208" t="n">
        <v>3.3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41602-2023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45175</v>
      </c>
      <c r="E209" s="1" t="n">
        <v>46316</v>
      </c>
      <c r="F209" t="inlineStr">
        <is>
          <t>VÄSTRA GÖTALANDS LÄN</t>
        </is>
      </c>
      <c r="G209" t="inlineStr">
        <is>
          <t>SKARA</t>
        </is>
      </c>
      <c r="H209" t="inlineStr">
        <is>
          <t>Kommuner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30085-2023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45110</v>
      </c>
      <c r="E210" s="1" t="n">
        <v>46316</v>
      </c>
      <c r="F210" t="inlineStr">
        <is>
          <t>VÄSTRA GÖTALANDS LÄN</t>
        </is>
      </c>
      <c r="G210" t="inlineStr">
        <is>
          <t>SKARA</t>
        </is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32668-2024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45514</v>
      </c>
      <c r="E211" s="1" t="n">
        <v>46316</v>
      </c>
      <c r="F211" t="inlineStr">
        <is>
          <t>VÄSTRA GÖTALANDS LÄN</t>
        </is>
      </c>
      <c r="G211" t="inlineStr">
        <is>
          <t>SKARA</t>
        </is>
      </c>
      <c r="I211" t="n">
        <v>1.2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37460-2023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45156</v>
      </c>
      <c r="E212" s="1" t="n">
        <v>46316</v>
      </c>
      <c r="F212" t="inlineStr">
        <is>
          <t>VÄSTRA GÖTALANDS LÄN</t>
        </is>
      </c>
      <c r="G212" t="inlineStr">
        <is>
          <t>SKARA</t>
        </is>
      </c>
      <c r="I212" t="n">
        <v>2.6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11900-2023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44995</v>
      </c>
      <c r="E213" s="1" t="n">
        <v>46316</v>
      </c>
      <c r="F213" t="inlineStr">
        <is>
          <t>VÄSTRA GÖTALANDS LÄN</t>
        </is>
      </c>
      <c r="G213" t="inlineStr">
        <is>
          <t>SKARA</t>
        </is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12889-2022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44642</v>
      </c>
      <c r="E214" s="1" t="n">
        <v>46316</v>
      </c>
      <c r="F214" t="inlineStr">
        <is>
          <t>VÄSTRA GÖTALANDS LÄN</t>
        </is>
      </c>
      <c r="G214" t="inlineStr">
        <is>
          <t>SKARA</t>
        </is>
      </c>
      <c r="I214" t="n">
        <v>1.3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30019-2023</t>
        </is>
      </c>
      <c r="B215" t="inlineStr">
        <is>
          <t>avverkningsanmälan</t>
        </is>
      </c>
      <c r="C215" t="inlineStr">
        <is>
          <t>Avverkning för annat ändamål</t>
        </is>
      </c>
      <c r="D215" s="1" t="n">
        <v>45109</v>
      </c>
      <c r="E215" s="1" t="n">
        <v>46316</v>
      </c>
      <c r="F215" t="inlineStr">
        <is>
          <t>VÄSTRA GÖTALANDS LÄN</t>
        </is>
      </c>
      <c r="G215" t="inlineStr">
        <is>
          <t>SKARA</t>
        </is>
      </c>
      <c r="I215" t="n">
        <v>1.2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2590-2024</t>
        </is>
      </c>
      <c r="B216" t="inlineStr">
        <is>
          <t>avverkningsanmälan</t>
        </is>
      </c>
      <c r="C216" t="inlineStr">
        <is>
          <t>Avverkning för annat ändamål</t>
        </is>
      </c>
      <c r="D216" s="1" t="n">
        <v>45313</v>
      </c>
      <c r="E216" s="1" t="n">
        <v>46316</v>
      </c>
      <c r="F216" t="inlineStr">
        <is>
          <t>VÄSTRA GÖTALANDS LÄN</t>
        </is>
      </c>
      <c r="G216" t="inlineStr">
        <is>
          <t>SKARA</t>
        </is>
      </c>
      <c r="I216" t="n">
        <v>11.7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65095-2023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45288</v>
      </c>
      <c r="E217" s="1" t="n">
        <v>46316</v>
      </c>
      <c r="F217" t="inlineStr">
        <is>
          <t>VÄSTRA GÖTALANDS LÄN</t>
        </is>
      </c>
      <c r="G217" t="inlineStr">
        <is>
          <t>SKARA</t>
        </is>
      </c>
      <c r="I217" t="n">
        <v>0.4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59841-2024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45639</v>
      </c>
      <c r="E218" s="1" t="n">
        <v>46316</v>
      </c>
      <c r="F218" t="inlineStr">
        <is>
          <t>VÄSTRA GÖTALANDS LÄN</t>
        </is>
      </c>
      <c r="G218" t="inlineStr">
        <is>
          <t>SKARA</t>
        </is>
      </c>
      <c r="I218" t="n">
        <v>4.1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58683-2024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45635</v>
      </c>
      <c r="E219" s="1" t="n">
        <v>46316</v>
      </c>
      <c r="F219" t="inlineStr">
        <is>
          <t>VÄSTRA GÖTALANDS LÄN</t>
        </is>
      </c>
      <c r="G219" t="inlineStr">
        <is>
          <t>SKARA</t>
        </is>
      </c>
      <c r="I219" t="n">
        <v>9.199999999999999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49435-2024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45595</v>
      </c>
      <c r="E220" s="1" t="n">
        <v>46316</v>
      </c>
      <c r="F220" t="inlineStr">
        <is>
          <t>VÄSTRA GÖTALANDS LÄN</t>
        </is>
      </c>
      <c r="G220" t="inlineStr">
        <is>
          <t>SKARA</t>
        </is>
      </c>
      <c r="I220" t="n">
        <v>3.5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S 1236-2022</t>
        </is>
      </c>
      <c r="B221" t="inlineStr">
        <is>
          <t>samrådsanmälan</t>
        </is>
      </c>
      <c r="C221" t="n">
        <v/>
      </c>
      <c r="D221" s="1" t="n">
        <v>44623</v>
      </c>
      <c r="E221" s="1" t="n">
        <v>46316</v>
      </c>
      <c r="F221" t="inlineStr">
        <is>
          <t>VÄSTRA GÖTALANDS LÄN</t>
        </is>
      </c>
      <c r="G221" t="inlineStr">
        <is>
          <t>SKARA</t>
        </is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>
      <c r="A222" t="inlineStr">
        <is>
          <t>S 839-2024</t>
        </is>
      </c>
      <c r="B222" t="inlineStr">
        <is>
          <t>samrådsanmälan</t>
        </is>
      </c>
      <c r="C222" t="inlineStr">
        <is>
          <t>Askåterföring</t>
        </is>
      </c>
      <c r="D222" s="1" t="n">
        <v>45372</v>
      </c>
      <c r="E222" s="1" t="n">
        <v>46316</v>
      </c>
      <c r="F222" t="inlineStr">
        <is>
          <t>VÄSTRA GÖTALANDS LÄN</t>
        </is>
      </c>
      <c r="G222" t="inlineStr">
        <is>
          <t>SKARA</t>
        </is>
      </c>
      <c r="I222" t="n">
        <v>19.6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2026-10-21T02:06:04Z</dcterms:created>
  <dcterms:modified xmlns:dcterms="http://purl.org/dc/terms/" xmlns:xsi="http://www.w3.org/2001/XMLSchema-instance" xsi:type="dcterms:W3CDTF">2026-10-21T02:06:04Z</dcterms:modified>
</cp:coreProperties>
</file>