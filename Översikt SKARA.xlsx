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46249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46249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46249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46249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46249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46249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46249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46249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46249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52041-2023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45223</v>
      </c>
      <c r="E12" s="1" t="n">
        <v>46249</v>
      </c>
      <c r="F12" t="inlineStr">
        <is>
          <t>VÄSTRA GÖTALANDS LÄN</t>
        </is>
      </c>
      <c r="G12" t="inlineStr">
        <is>
          <t>SKARA</t>
        </is>
      </c>
      <c r="I12" t="n">
        <v>5.9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HYPERLINK("https://klasma.github.io/Logging_1495/artfynd/A 52041-2023 artfynd.xlsx", "A 52041-2023")</f>
        <v/>
      </c>
      <c r="X12">
        <f>HYPERLINK("https://klasma.github.io/Logging_1495/kartor/A 52041-2023 karta.png", "A 52041-2023")</f>
        <v/>
      </c>
      <c r="Y12">
        <f>HYPERLINK("https://klasma.github.io/Logging_1495/kartor_geotiff/A 52041-2023 georefererad karta.tif", "A 52041-2023")</f>
        <v/>
      </c>
      <c r="AA12">
        <f>HYPERLINK("https://klasma.github.io/Logging_1495/klagomål/A 52041-2023 FSC-klagomål.docx", "A 52041-2023")</f>
        <v/>
      </c>
      <c r="AB12">
        <f>HYPERLINK("https://klasma.github.io/Logging_1495/klagomålsmail/A 52041-2023 FSC-klagomål mail.docx", "A 52041-2023")</f>
        <v/>
      </c>
      <c r="AC12">
        <f>HYPERLINK("https://klasma.github.io/Logging_1495/tillsyn/A 52041-2023 tillsynsbegäran.docx", "A 52041-2023")</f>
        <v/>
      </c>
      <c r="AD12">
        <f>HYPERLINK("https://klasma.github.io/Logging_1495/tillsynsmail/A 52041-2023 tillsynsbegäran mail.docx", "A 52041-2023")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46249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46249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46249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46249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46249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46249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46249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46249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46249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46249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46249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46249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46249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46249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46249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46249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46249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46249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46249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46249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46249</v>
      </c>
      <c r="F33" t="inlineStr">
        <is>
          <t>VÄSTRA GÖTALANDS LÄN</t>
        </is>
      </c>
      <c r="G33" t="inlineStr">
        <is>
          <t>SKARA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44698</v>
      </c>
      <c r="E34" s="1" t="n">
        <v>46249</v>
      </c>
      <c r="F34" t="inlineStr">
        <is>
          <t>VÄSTRA GÖTALANDS LÄN</t>
        </is>
      </c>
      <c r="G34" t="inlineStr">
        <is>
          <t>SKARA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44728</v>
      </c>
      <c r="E35" s="1" t="n">
        <v>46249</v>
      </c>
      <c r="F35" t="inlineStr">
        <is>
          <t>VÄSTRA GÖTALANDS LÄN</t>
        </is>
      </c>
      <c r="G35" t="inlineStr">
        <is>
          <t>SKARA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44860</v>
      </c>
      <c r="E36" s="1" t="n">
        <v>46249</v>
      </c>
      <c r="F36" t="inlineStr">
        <is>
          <t>VÄSTRA GÖTALANDS LÄN</t>
        </is>
      </c>
      <c r="G36" t="inlineStr">
        <is>
          <t>SKARA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46249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46249</v>
      </c>
      <c r="F38" t="inlineStr">
        <is>
          <t>VÄSTRA GÖTALANDS LÄN</t>
        </is>
      </c>
      <c r="G38" t="inlineStr">
        <is>
          <t>SKARA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46249</v>
      </c>
      <c r="F39" t="inlineStr">
        <is>
          <t>VÄSTRA GÖTALANDS LÄN</t>
        </is>
      </c>
      <c r="G39" t="inlineStr">
        <is>
          <t>SKARA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46249</v>
      </c>
      <c r="F40" t="inlineStr">
        <is>
          <t>VÄSTRA GÖTALANDS LÄN</t>
        </is>
      </c>
      <c r="G40" t="inlineStr">
        <is>
          <t>SKARA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60654-2021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46249</v>
      </c>
      <c r="F41" t="inlineStr">
        <is>
          <t>VÄSTRA GÖTALANDS LÄN</t>
        </is>
      </c>
      <c r="G41" t="inlineStr">
        <is>
          <t>SKARA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46249</v>
      </c>
      <c r="F42" t="inlineStr">
        <is>
          <t>VÄSTRA GÖTALANDS LÄN</t>
        </is>
      </c>
      <c r="G42" t="inlineStr">
        <is>
          <t>SKARA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46249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46249</v>
      </c>
      <c r="F44" t="inlineStr">
        <is>
          <t>VÄSTRA GÖTALANDS LÄN</t>
        </is>
      </c>
      <c r="G44" t="inlineStr">
        <is>
          <t>SKARA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68932-2021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44530</v>
      </c>
      <c r="E45" s="1" t="n">
        <v>46249</v>
      </c>
      <c r="F45" t="inlineStr">
        <is>
          <t>VÄSTRA GÖTALANDS LÄN</t>
        </is>
      </c>
      <c r="G45" t="inlineStr">
        <is>
          <t>SKARA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44818</v>
      </c>
      <c r="E46" s="1" t="n">
        <v>46249</v>
      </c>
      <c r="F46" t="inlineStr">
        <is>
          <t>VÄSTRA GÖTALANDS LÄN</t>
        </is>
      </c>
      <c r="G46" t="inlineStr">
        <is>
          <t>SKARA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46249</v>
      </c>
      <c r="F47" t="inlineStr">
        <is>
          <t>VÄSTRA GÖTALANDS LÄN</t>
        </is>
      </c>
      <c r="G47" t="inlineStr">
        <is>
          <t>SKARA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46249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62890-2023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46249</v>
      </c>
      <c r="F49" t="inlineStr">
        <is>
          <t>VÄSTRA GÖTALANDS LÄN</t>
        </is>
      </c>
      <c r="G49" t="inlineStr">
        <is>
          <t>SKARA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46249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46249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5825-2024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45335</v>
      </c>
      <c r="E52" s="1" t="n">
        <v>46249</v>
      </c>
      <c r="F52" t="inlineStr">
        <is>
          <t>VÄSTRA GÖTALANDS LÄN</t>
        </is>
      </c>
      <c r="G52" t="inlineStr">
        <is>
          <t>SKARA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46249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45889</v>
      </c>
      <c r="E54" s="1" t="n">
        <v>46249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46249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46249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44856</v>
      </c>
      <c r="E57" s="1" t="n">
        <v>46249</v>
      </c>
      <c r="F57" t="inlineStr">
        <is>
          <t>VÄSTRA GÖTALANDS LÄN</t>
        </is>
      </c>
      <c r="G57" t="inlineStr">
        <is>
          <t>SKARA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46249</v>
      </c>
      <c r="F58" t="inlineStr">
        <is>
          <t>VÄSTRA GÖTALANDS LÄN</t>
        </is>
      </c>
      <c r="G58" t="inlineStr">
        <is>
          <t>SKARA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46249</v>
      </c>
      <c r="F59" t="inlineStr">
        <is>
          <t>VÄSTRA GÖTALANDS LÄN</t>
        </is>
      </c>
      <c r="G59" t="inlineStr">
        <is>
          <t>SKARA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46249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45086</v>
      </c>
      <c r="E61" s="1" t="n">
        <v>46249</v>
      </c>
      <c r="F61" t="inlineStr">
        <is>
          <t>VÄSTRA GÖTALANDS LÄN</t>
        </is>
      </c>
      <c r="G61" t="inlineStr">
        <is>
          <t>SKARA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46249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46249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46249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46183-2025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46249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46249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45929</v>
      </c>
      <c r="E67" s="1" t="n">
        <v>46249</v>
      </c>
      <c r="F67" t="inlineStr">
        <is>
          <t>VÄSTRA GÖTALANDS LÄN</t>
        </is>
      </c>
      <c r="G67" t="inlineStr">
        <is>
          <t>SKARA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46087</v>
      </c>
      <c r="E68" s="1" t="n">
        <v>46249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46249</v>
      </c>
      <c r="F69" t="inlineStr">
        <is>
          <t>VÄSTRA GÖTALANDS LÄN</t>
        </is>
      </c>
      <c r="G69" t="inlineStr">
        <is>
          <t>SKARA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46249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22870-2024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46249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46249</v>
      </c>
      <c r="F72" t="inlineStr">
        <is>
          <t>VÄSTRA GÖTALANDS LÄN</t>
        </is>
      </c>
      <c r="G72" t="inlineStr">
        <is>
          <t>SKARA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46249</v>
      </c>
      <c r="F73" t="inlineStr">
        <is>
          <t>VÄSTRA GÖTALANDS LÄN</t>
        </is>
      </c>
      <c r="G73" t="inlineStr">
        <is>
          <t>SKARA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46249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46249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18701-2022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44687</v>
      </c>
      <c r="E76" s="1" t="n">
        <v>46249</v>
      </c>
      <c r="F76" t="inlineStr">
        <is>
          <t>VÄSTRA GÖTALANDS LÄN</t>
        </is>
      </c>
      <c r="G76" t="inlineStr">
        <is>
          <t>SKARA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46249</v>
      </c>
      <c r="F77" t="inlineStr">
        <is>
          <t>VÄSTRA GÖTALANDS LÄN</t>
        </is>
      </c>
      <c r="G77" t="inlineStr">
        <is>
          <t>SKARA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45408</v>
      </c>
      <c r="E78" s="1" t="n">
        <v>46249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46101</v>
      </c>
      <c r="E79" s="1" t="n">
        <v>46249</v>
      </c>
      <c r="F79" t="inlineStr">
        <is>
          <t>VÄSTRA GÖTALANDS LÄN</t>
        </is>
      </c>
      <c r="G79" t="inlineStr">
        <is>
          <t>SKARA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46249</v>
      </c>
      <c r="F80" t="inlineStr">
        <is>
          <t>VÄSTRA GÖTALANDS LÄN</t>
        </is>
      </c>
      <c r="G80" t="inlineStr">
        <is>
          <t>SKARA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46101</v>
      </c>
      <c r="E81" s="1" t="n">
        <v>46249</v>
      </c>
      <c r="F81" t="inlineStr">
        <is>
          <t>VÄSTRA GÖTALANDS LÄN</t>
        </is>
      </c>
      <c r="G81" t="inlineStr">
        <is>
          <t>SKARA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46100</v>
      </c>
      <c r="E82" s="1" t="n">
        <v>46249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45314</v>
      </c>
      <c r="E83" s="1" t="n">
        <v>46249</v>
      </c>
      <c r="F83" t="inlineStr">
        <is>
          <t>VÄSTRA GÖTALANDS LÄN</t>
        </is>
      </c>
      <c r="G83" t="inlineStr">
        <is>
          <t>SKARA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46249</v>
      </c>
      <c r="F84" t="inlineStr">
        <is>
          <t>VÄSTRA GÖTALANDS LÄN</t>
        </is>
      </c>
      <c r="G84" t="inlineStr">
        <is>
          <t>SKARA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46249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46249</v>
      </c>
      <c r="F86" t="inlineStr">
        <is>
          <t>VÄSTRA GÖTALANDS LÄN</t>
        </is>
      </c>
      <c r="G86" t="inlineStr">
        <is>
          <t>SKARA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46249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46249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46249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46249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45687</v>
      </c>
      <c r="E91" s="1" t="n">
        <v>46249</v>
      </c>
      <c r="F91" t="inlineStr">
        <is>
          <t>VÄSTRA GÖTALANDS LÄN</t>
        </is>
      </c>
      <c r="G91" t="inlineStr">
        <is>
          <t>SKARA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46249</v>
      </c>
      <c r="F92" t="inlineStr">
        <is>
          <t>VÄSTRA GÖTALANDS LÄN</t>
        </is>
      </c>
      <c r="G92" t="inlineStr">
        <is>
          <t>SKARA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46249</v>
      </c>
      <c r="F93" t="inlineStr">
        <is>
          <t>VÄSTRA GÖTALANDS LÄN</t>
        </is>
      </c>
      <c r="G93" t="inlineStr">
        <is>
          <t>SKARA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46249</v>
      </c>
      <c r="F94" t="inlineStr">
        <is>
          <t>VÄSTRA GÖTALANDS LÄN</t>
        </is>
      </c>
      <c r="G94" t="inlineStr">
        <is>
          <t>SKARA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46249</v>
      </c>
      <c r="F95" t="inlineStr">
        <is>
          <t>VÄSTRA GÖTALANDS LÄN</t>
        </is>
      </c>
      <c r="G95" t="inlineStr">
        <is>
          <t>SKARA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46249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46249</v>
      </c>
      <c r="F97" t="inlineStr">
        <is>
          <t>VÄSTRA GÖTALANDS LÄN</t>
        </is>
      </c>
      <c r="G97" t="inlineStr">
        <is>
          <t>SKARA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46249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46249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46249</v>
      </c>
      <c r="F100" t="inlineStr">
        <is>
          <t>VÄSTRA GÖTALANDS LÄN</t>
        </is>
      </c>
      <c r="G100" t="inlineStr">
        <is>
          <t>SKARA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44995</v>
      </c>
      <c r="E101" s="1" t="n">
        <v>46249</v>
      </c>
      <c r="F101" t="inlineStr">
        <is>
          <t>VÄSTRA GÖTALANDS LÄN</t>
        </is>
      </c>
      <c r="G101" t="inlineStr">
        <is>
          <t>SKARA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46113</v>
      </c>
      <c r="E102" s="1" t="n">
        <v>46249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46249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46249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46249</v>
      </c>
      <c r="F105" t="inlineStr">
        <is>
          <t>VÄSTRA GÖTALANDS LÄN</t>
        </is>
      </c>
      <c r="G105" t="inlineStr">
        <is>
          <t>SKARA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56849-2022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46249</v>
      </c>
      <c r="F106" t="inlineStr">
        <is>
          <t>VÄSTRA GÖTALANDS LÄN</t>
        </is>
      </c>
      <c r="G106" t="inlineStr">
        <is>
          <t>SKARA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46249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46249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46249</v>
      </c>
      <c r="F109" t="inlineStr">
        <is>
          <t>VÄSTRA GÖTALANDS LÄN</t>
        </is>
      </c>
      <c r="G109" t="inlineStr">
        <is>
          <t>SKARA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46249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46249</v>
      </c>
      <c r="F111" t="inlineStr">
        <is>
          <t>VÄSTRA GÖTALANDS LÄN</t>
        </is>
      </c>
      <c r="G111" t="inlineStr">
        <is>
          <t>SKARA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46249</v>
      </c>
      <c r="F112" t="inlineStr">
        <is>
          <t>VÄSTRA GÖTALANDS LÄN</t>
        </is>
      </c>
      <c r="G112" t="inlineStr">
        <is>
          <t>SKARA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44957</v>
      </c>
      <c r="E113" s="1" t="n">
        <v>46249</v>
      </c>
      <c r="F113" t="inlineStr">
        <is>
          <t>VÄSTRA GÖTALANDS LÄN</t>
        </is>
      </c>
      <c r="G113" t="inlineStr">
        <is>
          <t>SKARA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46249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46249</v>
      </c>
      <c r="F115" t="inlineStr">
        <is>
          <t>VÄSTRA GÖTALANDS LÄN</t>
        </is>
      </c>
      <c r="G115" t="inlineStr">
        <is>
          <t>SKARA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46249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46249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46249</v>
      </c>
      <c r="F118" t="inlineStr">
        <is>
          <t>VÄSTRA GÖTALANDS LÄN</t>
        </is>
      </c>
      <c r="G118" t="inlineStr">
        <is>
          <t>SKARA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46249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45514</v>
      </c>
      <c r="E120" s="1" t="n">
        <v>46249</v>
      </c>
      <c r="F120" t="inlineStr">
        <is>
          <t>VÄSTRA GÖTALANDS LÄN</t>
        </is>
      </c>
      <c r="G120" t="inlineStr">
        <is>
          <t>SKARA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44995</v>
      </c>
      <c r="E121" s="1" t="n">
        <v>46249</v>
      </c>
      <c r="F121" t="inlineStr">
        <is>
          <t>VÄSTRA GÖTALANDS LÄN</t>
        </is>
      </c>
      <c r="G121" t="inlineStr">
        <is>
          <t>SKARA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46249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46249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19950-2026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46136</v>
      </c>
      <c r="E124" s="1" t="n">
        <v>46249</v>
      </c>
      <c r="F124" t="inlineStr">
        <is>
          <t>VÄSTRA GÖTALANDS LÄN</t>
        </is>
      </c>
      <c r="G124" t="inlineStr">
        <is>
          <t>SKARA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46249</v>
      </c>
      <c r="F125" t="inlineStr">
        <is>
          <t>VÄSTRA GÖTALANDS LÄN</t>
        </is>
      </c>
      <c r="G125" t="inlineStr">
        <is>
          <t>SKARA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46249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46249</v>
      </c>
      <c r="F127" t="inlineStr">
        <is>
          <t>VÄSTRA GÖTALANDS LÄN</t>
        </is>
      </c>
      <c r="G127" t="inlineStr">
        <is>
          <t>SKARA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46249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46249</v>
      </c>
      <c r="F129" t="inlineStr">
        <is>
          <t>VÄSTRA GÖTALANDS LÄN</t>
        </is>
      </c>
      <c r="G129" t="inlineStr">
        <is>
          <t>SKARA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46249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46249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42874-2022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44832</v>
      </c>
      <c r="E132" s="1" t="n">
        <v>46249</v>
      </c>
      <c r="F132" t="inlineStr">
        <is>
          <t>VÄSTRA GÖTALANDS LÄN</t>
        </is>
      </c>
      <c r="G132" t="inlineStr">
        <is>
          <t>SKARA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46249</v>
      </c>
      <c r="F133" t="inlineStr">
        <is>
          <t>VÄSTRA GÖTALANDS LÄN</t>
        </is>
      </c>
      <c r="G133" t="inlineStr">
        <is>
          <t>SKARA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46249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46249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46249</v>
      </c>
      <c r="F136" t="inlineStr">
        <is>
          <t>VÄSTRA GÖTALANDS LÄN</t>
        </is>
      </c>
      <c r="G136" t="inlineStr">
        <is>
          <t>SKARA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45667</v>
      </c>
      <c r="E137" s="1" t="n">
        <v>46249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44433</v>
      </c>
      <c r="E138" s="1" t="n">
        <v>46249</v>
      </c>
      <c r="F138" t="inlineStr">
        <is>
          <t>VÄSTRA GÖTALANDS LÄN</t>
        </is>
      </c>
      <c r="G138" t="inlineStr">
        <is>
          <t>SKARA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46249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45288</v>
      </c>
      <c r="E140" s="1" t="n">
        <v>46249</v>
      </c>
      <c r="F140" t="inlineStr">
        <is>
          <t>VÄSTRA GÖTALANDS LÄN</t>
        </is>
      </c>
      <c r="G140" t="inlineStr">
        <is>
          <t>SKARA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46249</v>
      </c>
      <c r="F141" t="inlineStr">
        <is>
          <t>VÄSTRA GÖTALANDS LÄN</t>
        </is>
      </c>
      <c r="G141" t="inlineStr">
        <is>
          <t>SKARA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46249</v>
      </c>
      <c r="F142" t="inlineStr">
        <is>
          <t>VÄSTRA GÖTALANDS LÄN</t>
        </is>
      </c>
      <c r="G142" t="inlineStr">
        <is>
          <t>SKARA</t>
        </is>
      </c>
      <c r="I142" t="n">
        <v>21.6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45224</v>
      </c>
      <c r="E143" s="1" t="n">
        <v>46249</v>
      </c>
      <c r="F143" t="inlineStr">
        <is>
          <t>VÄSTRA GÖTALANDS LÄN</t>
        </is>
      </c>
      <c r="G143" t="inlineStr">
        <is>
          <t>SKARA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46249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46249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46249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46249</v>
      </c>
      <c r="F147" t="inlineStr">
        <is>
          <t>VÄSTRA GÖTALANDS LÄN</t>
        </is>
      </c>
      <c r="G147" t="inlineStr">
        <is>
          <t>SKARA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45156</v>
      </c>
      <c r="E148" s="1" t="n">
        <v>46249</v>
      </c>
      <c r="F148" t="inlineStr">
        <is>
          <t>VÄSTRA GÖTALANDS LÄN</t>
        </is>
      </c>
      <c r="G148" t="inlineStr">
        <is>
          <t>SKARA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46249</v>
      </c>
      <c r="F149" t="inlineStr">
        <is>
          <t>VÄSTRA GÖTALANDS LÄN</t>
        </is>
      </c>
      <c r="G149" t="inlineStr">
        <is>
          <t>SKARA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46249</v>
      </c>
      <c r="F150" t="inlineStr">
        <is>
          <t>VÄSTRA GÖTALANDS LÄN</t>
        </is>
      </c>
      <c r="G150" t="inlineStr">
        <is>
          <t>SKARA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46249</v>
      </c>
      <c r="F151" t="inlineStr">
        <is>
          <t>VÄSTRA GÖTALANDS LÄN</t>
        </is>
      </c>
      <c r="G151" t="inlineStr">
        <is>
          <t>SKARA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46249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46249</v>
      </c>
      <c r="F153" t="inlineStr">
        <is>
          <t>VÄSTRA GÖTALANDS LÄN</t>
        </is>
      </c>
      <c r="G153" t="inlineStr">
        <is>
          <t>SKARA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46249</v>
      </c>
      <c r="F154" t="inlineStr">
        <is>
          <t>VÄSTRA GÖTALANDS LÄN</t>
        </is>
      </c>
      <c r="G154" t="inlineStr">
        <is>
          <t>SKARA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45621</v>
      </c>
      <c r="E155" s="1" t="n">
        <v>46249</v>
      </c>
      <c r="F155" t="inlineStr">
        <is>
          <t>VÄSTRA GÖTALANDS LÄN</t>
        </is>
      </c>
      <c r="G155" t="inlineStr">
        <is>
          <t>SKARA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45492</v>
      </c>
      <c r="E156" s="1" t="n">
        <v>46249</v>
      </c>
      <c r="F156" t="inlineStr">
        <is>
          <t>VÄSTRA GÖTALANDS LÄN</t>
        </is>
      </c>
      <c r="G156" t="inlineStr">
        <is>
          <t>SKARA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46249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46249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46249</v>
      </c>
      <c r="F159" t="inlineStr">
        <is>
          <t>VÄSTRA GÖTALANDS LÄN</t>
        </is>
      </c>
      <c r="G159" t="inlineStr">
        <is>
          <t>SKARA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46249</v>
      </c>
      <c r="F160" t="inlineStr">
        <is>
          <t>VÄSTRA GÖTALANDS LÄN</t>
        </is>
      </c>
      <c r="G160" t="inlineStr">
        <is>
          <t>SKARA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46249</v>
      </c>
      <c r="F161" t="inlineStr">
        <is>
          <t>VÄSTRA GÖTALANDS LÄN</t>
        </is>
      </c>
      <c r="G161" t="inlineStr">
        <is>
          <t>SKARA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46249</v>
      </c>
      <c r="F162" t="inlineStr">
        <is>
          <t>VÄSTRA GÖTALANDS LÄN</t>
        </is>
      </c>
      <c r="G162" t="inlineStr">
        <is>
          <t>SKARA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46249</v>
      </c>
      <c r="F163" t="inlineStr">
        <is>
          <t>VÄSTRA GÖTALANDS LÄN</t>
        </is>
      </c>
      <c r="G163" t="inlineStr">
        <is>
          <t>SKARA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45149</v>
      </c>
      <c r="E164" s="1" t="n">
        <v>46249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46249</v>
      </c>
      <c r="F165" t="inlineStr">
        <is>
          <t>VÄSTRA GÖTALANDS LÄN</t>
        </is>
      </c>
      <c r="G165" t="inlineStr">
        <is>
          <t>SKARA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30019-2023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45109</v>
      </c>
      <c r="E166" s="1" t="n">
        <v>46249</v>
      </c>
      <c r="F166" t="inlineStr">
        <is>
          <t>VÄSTRA GÖTALANDS LÄN</t>
        </is>
      </c>
      <c r="G166" t="inlineStr">
        <is>
          <t>SKARA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46249</v>
      </c>
      <c r="F167" t="inlineStr">
        <is>
          <t>VÄSTRA GÖTALANDS LÄN</t>
        </is>
      </c>
      <c r="G167" t="inlineStr">
        <is>
          <t>SKARA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46249</v>
      </c>
      <c r="F168" t="inlineStr">
        <is>
          <t>VÄSTRA GÖTALANDS LÄN</t>
        </is>
      </c>
      <c r="G168" t="inlineStr">
        <is>
          <t>SKARA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46249</v>
      </c>
      <c r="F169" t="inlineStr">
        <is>
          <t>VÄSTRA GÖTALANDS LÄN</t>
        </is>
      </c>
      <c r="G169" t="inlineStr">
        <is>
          <t>SKARA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46249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46249</v>
      </c>
      <c r="F171" t="inlineStr">
        <is>
          <t>VÄSTRA GÖTALANDS LÄN</t>
        </is>
      </c>
      <c r="G171" t="inlineStr">
        <is>
          <t>SKARA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46249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46249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45313</v>
      </c>
      <c r="E174" s="1" t="n">
        <v>46249</v>
      </c>
      <c r="F174" t="inlineStr">
        <is>
          <t>VÄSTRA GÖTALANDS LÄN</t>
        </is>
      </c>
      <c r="G174" t="inlineStr">
        <is>
          <t>SKARA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46249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46249</v>
      </c>
      <c r="F176" t="inlineStr">
        <is>
          <t>VÄSTRA GÖTALANDS LÄN</t>
        </is>
      </c>
      <c r="G176" t="inlineStr">
        <is>
          <t>SKARA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46249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46249</v>
      </c>
      <c r="F178" t="inlineStr">
        <is>
          <t>VÄSTRA GÖTALANDS LÄN</t>
        </is>
      </c>
      <c r="G178" t="inlineStr">
        <is>
          <t>SKARA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46249</v>
      </c>
      <c r="F179" t="inlineStr">
        <is>
          <t>VÄSTRA GÖTALANDS LÄN</t>
        </is>
      </c>
      <c r="G179" t="inlineStr">
        <is>
          <t>SKARA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46249</v>
      </c>
      <c r="F180" t="inlineStr">
        <is>
          <t>VÄSTRA GÖTALANDS LÄN</t>
        </is>
      </c>
      <c r="G180" t="inlineStr">
        <is>
          <t>SKARA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45492</v>
      </c>
      <c r="E181" s="1" t="n">
        <v>46249</v>
      </c>
      <c r="F181" t="inlineStr">
        <is>
          <t>VÄSTRA GÖTALANDS LÄN</t>
        </is>
      </c>
      <c r="G181" t="inlineStr">
        <is>
          <t>SKARA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46249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46249</v>
      </c>
      <c r="F183" t="inlineStr">
        <is>
          <t>VÄSTRA GÖTALANDS LÄN</t>
        </is>
      </c>
      <c r="G183" t="inlineStr">
        <is>
          <t>SKARA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46249</v>
      </c>
      <c r="F184" t="inlineStr">
        <is>
          <t>VÄSTRA GÖTALANDS LÄN</t>
        </is>
      </c>
      <c r="G184" t="inlineStr">
        <is>
          <t>SKARA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46249</v>
      </c>
      <c r="F185" t="inlineStr">
        <is>
          <t>VÄSTRA GÖTALANDS LÄN</t>
        </is>
      </c>
      <c r="G185" t="inlineStr">
        <is>
          <t>SKARA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46249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46168</v>
      </c>
      <c r="E187" s="1" t="n">
        <v>46249</v>
      </c>
      <c r="F187" t="inlineStr">
        <is>
          <t>VÄSTRA GÖTALANDS LÄN</t>
        </is>
      </c>
      <c r="G187" t="inlineStr">
        <is>
          <t>SKARA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46249</v>
      </c>
      <c r="F188" t="inlineStr">
        <is>
          <t>VÄSTRA GÖTALANDS LÄN</t>
        </is>
      </c>
      <c r="G188" t="inlineStr">
        <is>
          <t>SKARA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46249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45469</v>
      </c>
      <c r="E190" s="1" t="n">
        <v>46249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45469</v>
      </c>
      <c r="E191" s="1" t="n">
        <v>46249</v>
      </c>
      <c r="F191" t="inlineStr">
        <is>
          <t>VÄSTRA GÖTALANDS LÄN</t>
        </is>
      </c>
      <c r="G191" t="inlineStr">
        <is>
          <t>SKARA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25219-2025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45800</v>
      </c>
      <c r="E192" s="1" t="n">
        <v>46249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46249</v>
      </c>
      <c r="F193" t="inlineStr">
        <is>
          <t>VÄSTRA GÖTALANDS LÄN</t>
        </is>
      </c>
      <c r="G193" t="inlineStr">
        <is>
          <t>SKARA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46249</v>
      </c>
      <c r="F194" t="inlineStr">
        <is>
          <t>VÄSTRA GÖTALANDS LÄN</t>
        </is>
      </c>
      <c r="G194" t="inlineStr">
        <is>
          <t>SKARA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46249</v>
      </c>
      <c r="F195" t="inlineStr">
        <is>
          <t>VÄSTRA GÖTALANDS LÄN</t>
        </is>
      </c>
      <c r="G195" t="inlineStr">
        <is>
          <t>SKARA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46249</v>
      </c>
      <c r="F196" t="inlineStr">
        <is>
          <t>VÄSTRA GÖTALANDS LÄN</t>
        </is>
      </c>
      <c r="G196" t="inlineStr">
        <is>
          <t>SKARA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46249</v>
      </c>
      <c r="F197" t="inlineStr">
        <is>
          <t>VÄSTRA GÖTALANDS LÄN</t>
        </is>
      </c>
      <c r="G197" t="inlineStr">
        <is>
          <t>SKARA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46249</v>
      </c>
      <c r="F198" t="inlineStr">
        <is>
          <t>VÄSTRA GÖTALANDS LÄN</t>
        </is>
      </c>
      <c r="G198" t="inlineStr">
        <is>
          <t>SKARA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44946</v>
      </c>
      <c r="E199" s="1" t="n">
        <v>46249</v>
      </c>
      <c r="F199" t="inlineStr">
        <is>
          <t>VÄSTRA GÖTALANDS LÄN</t>
        </is>
      </c>
      <c r="G199" t="inlineStr">
        <is>
          <t>SKARA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46249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27478-2026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46189</v>
      </c>
      <c r="E201" s="1" t="n">
        <v>46249</v>
      </c>
      <c r="F201" t="inlineStr">
        <is>
          <t>VÄSTRA GÖTALANDS LÄN</t>
        </is>
      </c>
      <c r="G201" t="inlineStr">
        <is>
          <t>SKARA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45420</v>
      </c>
      <c r="E202" s="1" t="n">
        <v>46249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46249</v>
      </c>
      <c r="F203" t="inlineStr">
        <is>
          <t>VÄSTRA GÖTALANDS LÄN</t>
        </is>
      </c>
      <c r="G203" t="inlineStr">
        <is>
          <t>SKARA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46249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46249</v>
      </c>
      <c r="F205" t="inlineStr">
        <is>
          <t>VÄSTRA GÖTALANDS LÄN</t>
        </is>
      </c>
      <c r="G205" t="inlineStr">
        <is>
          <t>SKARA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46249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45776</v>
      </c>
      <c r="E207" s="1" t="n">
        <v>46249</v>
      </c>
      <c r="F207" t="inlineStr">
        <is>
          <t>VÄSTRA GÖTALANDS LÄN</t>
        </is>
      </c>
      <c r="G207" t="inlineStr">
        <is>
          <t>SKARA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44687</v>
      </c>
      <c r="E208" s="1" t="n">
        <v>46249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Kommuner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46249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46249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46249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46249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Kyrkan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46247</v>
      </c>
      <c r="E213" s="1" t="n">
        <v>46249</v>
      </c>
      <c r="F213" t="inlineStr">
        <is>
          <t>VÄSTRA GÖTALANDS LÄN</t>
        </is>
      </c>
      <c r="G213" t="inlineStr">
        <is>
          <t>SKARA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1236-2022</t>
        </is>
      </c>
      <c r="B214" t="inlineStr">
        <is>
          <t>samrådsanmälan</t>
        </is>
      </c>
      <c r="C214" t="n">
        <v/>
      </c>
      <c r="D214" s="1" t="n">
        <v>44623</v>
      </c>
      <c r="E214" s="1" t="n">
        <v>46249</v>
      </c>
      <c r="F214" t="inlineStr">
        <is>
          <t>VÄSTRA GÖTALANDS LÄN</t>
        </is>
      </c>
      <c r="G214" t="inlineStr">
        <is>
          <t>SKARA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839-2024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45372</v>
      </c>
      <c r="E215" s="1" t="n">
        <v>46249</v>
      </c>
      <c r="F215" t="inlineStr">
        <is>
          <t>VÄSTRA GÖTALANDS LÄN</t>
        </is>
      </c>
      <c r="G215" t="inlineStr">
        <is>
          <t>SKARA</t>
        </is>
      </c>
      <c r="I215" t="n">
        <v>19.6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2026-08-15T08:30:13Z</dcterms:created>
  <dcterms:modified xmlns:dcterms="http://purl.org/dc/terms/" xmlns:xsi="http://www.w3.org/2001/XMLSchema-instance" xsi:type="dcterms:W3CDTF">2026-08-15T08:30:13Z</dcterms:modified>
</cp:coreProperties>
</file>