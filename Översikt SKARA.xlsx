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222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Fynd</t>
        </is>
      </c>
      <c r="U1" t="inlineStr">
        <is>
          <t>Nya fynd</t>
        </is>
      </c>
      <c r="V1" t="inlineStr">
        <is>
          <t>Artnamn</t>
        </is>
      </c>
      <c r="W1" t="inlineStr">
        <is>
          <t>Artfyndslänk</t>
        </is>
      </c>
      <c r="X1" t="inlineStr">
        <is>
          <t>Kartlänk</t>
        </is>
      </c>
      <c r="Y1" t="inlineStr">
        <is>
          <t>Geotifflänk</t>
        </is>
      </c>
      <c r="Z1" t="inlineStr">
        <is>
          <t>Knärotsbuffertlänk</t>
        </is>
      </c>
      <c r="AA1" t="inlineStr">
        <is>
          <t>Klagomålslänk</t>
        </is>
      </c>
      <c r="AB1" t="inlineStr">
        <is>
          <t>Klagomålsmaillänk</t>
        </is>
      </c>
      <c r="AC1" t="inlineStr">
        <is>
          <t>Tillsynsbegäranslänk</t>
        </is>
      </c>
      <c r="AD1" t="inlineStr">
        <is>
          <t>Tillsynsbegäransmaillänk</t>
        </is>
      </c>
      <c r="AE1" t="inlineStr">
        <is>
          <t>Fågeltillsynsbegäranslänk</t>
        </is>
      </c>
    </row>
    <row r="2" ht="15" customHeight="1">
      <c r="A2" t="inlineStr">
        <is>
          <t>A 1202-2024</t>
        </is>
      </c>
      <c r="B2" t="inlineStr">
        <is>
          <t>avverkningsanmälan</t>
        </is>
      </c>
      <c r="C2" t="inlineStr">
        <is>
          <t>Avverkning för annat ändamål</t>
        </is>
      </c>
      <c r="D2" s="1" t="n">
        <v>45302</v>
      </c>
      <c r="E2" s="1" t="n">
        <v>46317</v>
      </c>
      <c r="F2" t="inlineStr">
        <is>
          <t>VÄSTRA GÖTALANDS LÄN</t>
        </is>
      </c>
      <c r="G2" t="inlineStr">
        <is>
          <t>SKARA</t>
        </is>
      </c>
      <c r="I2" t="n">
        <v>6.7</v>
      </c>
      <c r="J2" t="n">
        <v>2</v>
      </c>
      <c r="K2" t="n">
        <v>3</v>
      </c>
      <c r="L2" t="n">
        <v>1</v>
      </c>
      <c r="M2" t="n">
        <v>0</v>
      </c>
      <c r="N2" t="n">
        <v>2</v>
      </c>
      <c r="O2" t="n">
        <v>0</v>
      </c>
      <c r="P2" t="n">
        <v>0</v>
      </c>
      <c r="Q2" t="n">
        <v>3</v>
      </c>
      <c r="R2" t="n">
        <v>2</v>
      </c>
      <c r="S2" t="n">
        <v>7</v>
      </c>
      <c r="T2" t="n">
        <v>17</v>
      </c>
      <c r="U2" t="n">
        <v>17</v>
      </c>
      <c r="V2" s="2" t="inlineStr">
        <is>
          <t>Ask
Skogsalm
Sårläka
Nästrot
Underviol
Vätteros
Fläcknycklar</t>
        </is>
      </c>
      <c r="W2">
        <f>HYPERLINK("https://klasma.github.io/Logging_1495/artfynd/A 1202-2024 artfynd.xlsx", "A 1202-2024")</f>
        <v/>
      </c>
      <c r="X2">
        <f>HYPERLINK("https://klasma.github.io/Logging_1495/kartor/A 1202-2024 karta.png", "A 1202-2024")</f>
        <v/>
      </c>
      <c r="Y2">
        <f>HYPERLINK("https://klasma.github.io/Logging_1495/kartor_geotiff/A 1202-2024 georefererad karta.tif", "A 1202-2024")</f>
        <v/>
      </c>
      <c r="AA2">
        <f>HYPERLINK("https://klasma.github.io/Logging_1495/klagomål/A 1202-2024 FSC-klagomål.docx", "A 1202-2024")</f>
        <v/>
      </c>
      <c r="AB2">
        <f>HYPERLINK("https://klasma.github.io/Logging_1495/klagomålsmail/A 1202-2024 FSC-klagomål mail.docx", "A 1202-2024")</f>
        <v/>
      </c>
      <c r="AC2">
        <f>HYPERLINK("https://klasma.github.io/Logging_1495/tillsyn/A 1202-2024 tillsynsbegäran.docx", "A 1202-2024")</f>
        <v/>
      </c>
      <c r="AD2">
        <f>HYPERLINK("https://klasma.github.io/Logging_1495/tillsynsmail/A 1202-2024 tillsynsbegäran mail.docx", "A 1202-2024")</f>
        <v/>
      </c>
    </row>
    <row r="3" ht="15" customHeight="1">
      <c r="A3" t="inlineStr">
        <is>
          <t>A 16179-2025</t>
        </is>
      </c>
      <c r="B3" t="inlineStr">
        <is>
          <t>avverkningsanmälan</t>
        </is>
      </c>
      <c r="C3" t="inlineStr">
        <is>
          <t>Avverkning för annat ändamål</t>
        </is>
      </c>
      <c r="D3" s="1" t="n">
        <v>45750</v>
      </c>
      <c r="E3" s="1" t="n">
        <v>46317</v>
      </c>
      <c r="F3" t="inlineStr">
        <is>
          <t>VÄSTRA GÖTALANDS LÄN</t>
        </is>
      </c>
      <c r="G3" t="inlineStr">
        <is>
          <t>SKARA</t>
        </is>
      </c>
      <c r="I3" t="n">
        <v>7.4</v>
      </c>
      <c r="J3" t="n">
        <v>2</v>
      </c>
      <c r="K3" t="n">
        <v>2</v>
      </c>
      <c r="L3" t="n">
        <v>2</v>
      </c>
      <c r="M3" t="n">
        <v>0</v>
      </c>
      <c r="N3" t="n">
        <v>0</v>
      </c>
      <c r="O3" t="n">
        <v>0</v>
      </c>
      <c r="P3" t="n">
        <v>0</v>
      </c>
      <c r="Q3" t="n">
        <v>2</v>
      </c>
      <c r="R3" t="n">
        <v>0</v>
      </c>
      <c r="S3" t="n">
        <v>5</v>
      </c>
      <c r="T3" t="n">
        <v>5</v>
      </c>
      <c r="U3" t="n">
        <v>4</v>
      </c>
      <c r="V3" s="2" t="inlineStr">
        <is>
          <t>Rosenfink
Ädelguldbagge
Hässleklocka
Lundbräsma
Blåsippa</t>
        </is>
      </c>
      <c r="W3">
        <f>HYPERLINK("https://klasma.github.io/Logging_1495/artfynd/A 16179-2025 artfynd.xlsx", "A 16179-2025")</f>
        <v/>
      </c>
      <c r="X3">
        <f>HYPERLINK("https://klasma.github.io/Logging_1495/kartor/A 16179-2025 karta.png", "A 16179-2025")</f>
        <v/>
      </c>
      <c r="Y3">
        <f>HYPERLINK("https://klasma.github.io/Logging_1495/kartor_geotiff/A 16179-2025 georefererad karta.tif", "A 16179-2025")</f>
        <v/>
      </c>
      <c r="AA3">
        <f>HYPERLINK("https://klasma.github.io/Logging_1495/klagomål/A 16179-2025 FSC-klagomål.docx", "A 16179-2025")</f>
        <v/>
      </c>
      <c r="AB3">
        <f>HYPERLINK("https://klasma.github.io/Logging_1495/klagomålsmail/A 16179-2025 FSC-klagomål mail.docx", "A 16179-2025")</f>
        <v/>
      </c>
      <c r="AC3">
        <f>HYPERLINK("https://klasma.github.io/Logging_1495/tillsyn/A 16179-2025 tillsynsbegäran.docx", "A 16179-2025")</f>
        <v/>
      </c>
      <c r="AD3">
        <f>HYPERLINK("https://klasma.github.io/Logging_1495/tillsynsmail/A 16179-2025 tillsynsbegäran mail.docx", "A 16179-2025")</f>
        <v/>
      </c>
      <c r="AE3">
        <f>HYPERLINK("https://klasma.github.io/Logging_1495/fåglar/A 16179-2025 prioriterade fågelarter.docx", "A 16179-2025")</f>
        <v/>
      </c>
    </row>
    <row r="4" ht="15" customHeight="1">
      <c r="A4" t="inlineStr">
        <is>
          <t>S 258-2026</t>
        </is>
      </c>
      <c r="B4" t="inlineStr">
        <is>
          <t>samrådsanmälan</t>
        </is>
      </c>
      <c r="C4" t="inlineStr">
        <is>
          <t>Askåterföring</t>
        </is>
      </c>
      <c r="D4" s="1" t="n">
        <v>46052</v>
      </c>
      <c r="E4" s="1" t="n">
        <v>46317</v>
      </c>
      <c r="F4" t="inlineStr">
        <is>
          <t>VÄSTRA GÖTALANDS LÄN</t>
        </is>
      </c>
      <c r="G4" t="inlineStr">
        <is>
          <t>SKARA</t>
        </is>
      </c>
      <c r="H4" t="inlineStr">
        <is>
          <t>Sveaskog</t>
        </is>
      </c>
      <c r="I4" t="n">
        <v>116.1</v>
      </c>
      <c r="J4" t="n">
        <v>2</v>
      </c>
      <c r="K4" t="n">
        <v>0</v>
      </c>
      <c r="L4" t="n">
        <v>2</v>
      </c>
      <c r="M4" t="n">
        <v>1</v>
      </c>
      <c r="N4" t="n">
        <v>1</v>
      </c>
      <c r="O4" t="n">
        <v>0</v>
      </c>
      <c r="P4" t="n">
        <v>0</v>
      </c>
      <c r="Q4" t="n">
        <v>4</v>
      </c>
      <c r="R4" t="n">
        <v>2</v>
      </c>
      <c r="S4" t="n">
        <v>5</v>
      </c>
      <c r="T4" t="n">
        <v>5</v>
      </c>
      <c r="U4" t="n">
        <v>3</v>
      </c>
      <c r="V4" s="2" t="inlineStr">
        <is>
          <t>Ask
Sexfläckig bastardsvärmare
Sädesärla
Ängsmetallvinge
Vanlig snok</t>
        </is>
      </c>
      <c r="W4">
        <f>HYPERLINK("https://klasma.github.io/Logging_1495/artfynd/S 258-2026 artfynd.xlsx", "S 258-2026")</f>
        <v/>
      </c>
      <c r="X4">
        <f>HYPERLINK("https://klasma.github.io/Logging_1495/kartor/S 258-2026 karta.png", "S 258-2026")</f>
        <v/>
      </c>
      <c r="Y4">
        <f>HYPERLINK("https://klasma.github.io/Logging_1495/kartor_geotiff/S 258-2026 georefererad karta.tif", "S 258-2026")</f>
        <v/>
      </c>
      <c r="AA4">
        <f>HYPERLINK("https://klasma.github.io/Logging_1495/klagomål/S 258-2026 FSC-klagomål.docx", "S 258-2026")</f>
        <v/>
      </c>
      <c r="AB4">
        <f>HYPERLINK("https://klasma.github.io/Logging_1495/klagomålsmail/S 258-2026 FSC-klagomål mail.docx", "S 258-2026")</f>
        <v/>
      </c>
      <c r="AC4">
        <f>HYPERLINK("https://klasma.github.io/Logging_1495/tillsyn/S 258-2026 tillsynsbegäran.docx", "S 258-2026")</f>
        <v/>
      </c>
      <c r="AD4">
        <f>HYPERLINK("https://klasma.github.io/Logging_1495/tillsynsmail/S 258-2026 tillsynsbegäran mail.docx", "S 258-2026")</f>
        <v/>
      </c>
      <c r="AE4">
        <f>HYPERLINK("https://klasma.github.io/Logging_1495/fåglar/S 258-2026 prioriterade fågelarter.docx", "S 258-2026")</f>
        <v/>
      </c>
    </row>
    <row r="5" ht="15" customHeight="1">
      <c r="A5" t="inlineStr">
        <is>
          <t>A 33610-2025</t>
        </is>
      </c>
      <c r="B5" t="inlineStr">
        <is>
          <t>avverkningsanmälan</t>
        </is>
      </c>
      <c r="C5" t="inlineStr">
        <is>
          <t>Föryngringsavverkning</t>
        </is>
      </c>
      <c r="D5" s="1" t="n">
        <v>45841</v>
      </c>
      <c r="E5" s="1" t="n">
        <v>46317</v>
      </c>
      <c r="F5" t="inlineStr">
        <is>
          <t>VÄSTRA GÖTALANDS LÄN</t>
        </is>
      </c>
      <c r="G5" t="inlineStr">
        <is>
          <t>SKARA</t>
        </is>
      </c>
      <c r="I5" t="n">
        <v>11.2</v>
      </c>
      <c r="J5" t="n">
        <v>1</v>
      </c>
      <c r="K5" t="n">
        <v>1</v>
      </c>
      <c r="L5" t="n">
        <v>0</v>
      </c>
      <c r="M5" t="n">
        <v>0</v>
      </c>
      <c r="N5" t="n">
        <v>2</v>
      </c>
      <c r="O5" t="n">
        <v>0</v>
      </c>
      <c r="P5" t="n">
        <v>0</v>
      </c>
      <c r="Q5" t="n">
        <v>2</v>
      </c>
      <c r="R5" t="n">
        <v>2</v>
      </c>
      <c r="S5" t="n">
        <v>4</v>
      </c>
      <c r="T5" t="n">
        <v>5</v>
      </c>
      <c r="U5" t="n">
        <v>0</v>
      </c>
      <c r="V5" s="2" t="inlineStr">
        <is>
          <t>Ask
Skogsalm
Lundbräsma
Blåsippa</t>
        </is>
      </c>
      <c r="W5">
        <f>HYPERLINK("https://klasma.github.io/Logging_1495/artfynd/A 33610-2025 artfynd.xlsx", "A 33610-2025")</f>
        <v/>
      </c>
      <c r="X5">
        <f>HYPERLINK("https://klasma.github.io/Logging_1495/kartor/A 33610-2025 karta.png", "A 33610-2025")</f>
        <v/>
      </c>
      <c r="Y5">
        <f>HYPERLINK("https://klasma.github.io/Logging_1495/kartor_geotiff/A 33610-2025 georefererad karta.tif", "A 33610-2025")</f>
        <v/>
      </c>
      <c r="AA5">
        <f>HYPERLINK("https://klasma.github.io/Logging_1495/klagomål/A 33610-2025 FSC-klagomål.docx", "A 33610-2025")</f>
        <v/>
      </c>
      <c r="AB5">
        <f>HYPERLINK("https://klasma.github.io/Logging_1495/klagomålsmail/A 33610-2025 FSC-klagomål mail.docx", "A 33610-2025")</f>
        <v/>
      </c>
      <c r="AC5">
        <f>HYPERLINK("https://klasma.github.io/Logging_1495/tillsyn/A 33610-2025 tillsynsbegäran.docx", "A 33610-2025")</f>
        <v/>
      </c>
      <c r="AD5">
        <f>HYPERLINK("https://klasma.github.io/Logging_1495/tillsynsmail/A 33610-2025 tillsynsbegäran mail.docx", "A 33610-2025")</f>
        <v/>
      </c>
    </row>
    <row r="6" ht="15" customHeight="1">
      <c r="A6" t="inlineStr">
        <is>
          <t>A 8807-2022</t>
        </is>
      </c>
      <c r="B6" t="inlineStr">
        <is>
          <t>avverkningsanmälan</t>
        </is>
      </c>
      <c r="C6" t="inlineStr">
        <is>
          <t>Föryngringsavverkning</t>
        </is>
      </c>
      <c r="D6" s="1" t="n">
        <v>44614</v>
      </c>
      <c r="E6" s="1" t="n">
        <v>46317</v>
      </c>
      <c r="F6" t="inlineStr">
        <is>
          <t>VÄSTRA GÖTALANDS LÄN</t>
        </is>
      </c>
      <c r="G6" t="inlineStr">
        <is>
          <t>SKARA</t>
        </is>
      </c>
      <c r="H6" t="inlineStr">
        <is>
          <t>Kyrkan</t>
        </is>
      </c>
      <c r="I6" t="n">
        <v>8.9</v>
      </c>
      <c r="J6" t="n">
        <v>1</v>
      </c>
      <c r="K6" t="n">
        <v>2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0</v>
      </c>
      <c r="R6" t="n">
        <v>0</v>
      </c>
      <c r="S6" t="n">
        <v>3</v>
      </c>
      <c r="T6" t="n">
        <v>4</v>
      </c>
      <c r="U6" t="n">
        <v>4</v>
      </c>
      <c r="V6" s="2" t="inlineStr">
        <is>
          <t>Brandticka
Grovticka
Revlummer</t>
        </is>
      </c>
      <c r="W6">
        <f>HYPERLINK("https://klasma.github.io/Logging_1495/artfynd/A 8807-2022 artfynd.xlsx", "A 8807-2022")</f>
        <v/>
      </c>
      <c r="X6">
        <f>HYPERLINK("https://klasma.github.io/Logging_1495/kartor/A 8807-2022 karta.png", "A 8807-2022")</f>
        <v/>
      </c>
      <c r="Y6">
        <f>HYPERLINK("https://klasma.github.io/Logging_1495/kartor_geotiff/A 8807-2022 georefererad karta.tif", "A 8807-2022")</f>
        <v/>
      </c>
      <c r="AA6">
        <f>HYPERLINK("https://klasma.github.io/Logging_1495/klagomål/A 8807-2022 FSC-klagomål.docx", "A 8807-2022")</f>
        <v/>
      </c>
      <c r="AB6">
        <f>HYPERLINK("https://klasma.github.io/Logging_1495/klagomålsmail/A 8807-2022 FSC-klagomål mail.docx", "A 8807-2022")</f>
        <v/>
      </c>
      <c r="AC6">
        <f>HYPERLINK("https://klasma.github.io/Logging_1495/tillsyn/A 8807-2022 tillsynsbegäran.docx", "A 8807-2022")</f>
        <v/>
      </c>
      <c r="AD6">
        <f>HYPERLINK("https://klasma.github.io/Logging_1495/tillsynsmail/A 8807-2022 tillsynsbegäran mail.docx", "A 8807-2022")</f>
        <v/>
      </c>
    </row>
    <row r="7" ht="15" customHeight="1">
      <c r="A7" t="inlineStr">
        <is>
          <t>A 22585-2022</t>
        </is>
      </c>
      <c r="B7" t="inlineStr">
        <is>
          <t>avverkningsanmälan</t>
        </is>
      </c>
      <c r="C7" t="inlineStr">
        <is>
          <t>Föryngringsavverkning</t>
        </is>
      </c>
      <c r="D7" s="1" t="n">
        <v>44714</v>
      </c>
      <c r="E7" s="1" t="n">
        <v>46317</v>
      </c>
      <c r="F7" t="inlineStr">
        <is>
          <t>VÄSTRA GÖTALANDS LÄN</t>
        </is>
      </c>
      <c r="G7" t="inlineStr">
        <is>
          <t>SKARA</t>
        </is>
      </c>
      <c r="I7" t="n">
        <v>1.6</v>
      </c>
      <c r="J7" t="n">
        <v>0</v>
      </c>
      <c r="K7" t="n">
        <v>1</v>
      </c>
      <c r="L7" t="n">
        <v>1</v>
      </c>
      <c r="M7" t="n">
        <v>0</v>
      </c>
      <c r="N7" t="n">
        <v>0</v>
      </c>
      <c r="O7" t="n">
        <v>0</v>
      </c>
      <c r="P7" t="n">
        <v>0</v>
      </c>
      <c r="Q7" t="n">
        <v>1</v>
      </c>
      <c r="R7" t="n">
        <v>0</v>
      </c>
      <c r="S7" t="n">
        <v>2</v>
      </c>
      <c r="T7" t="n">
        <v>3</v>
      </c>
      <c r="U7" t="n">
        <v>0</v>
      </c>
      <c r="V7" s="2" t="inlineStr">
        <is>
          <t>Scharlakansvaxing
Toppvaxing</t>
        </is>
      </c>
      <c r="W7">
        <f>HYPERLINK("https://klasma.github.io/Logging_1495/artfynd/A 22585-2022 artfynd.xlsx", "A 22585-2022")</f>
        <v/>
      </c>
      <c r="X7">
        <f>HYPERLINK("https://klasma.github.io/Logging_1495/kartor/A 22585-2022 karta.png", "A 22585-2022")</f>
        <v/>
      </c>
      <c r="Y7">
        <f>HYPERLINK("https://klasma.github.io/Logging_1495/kartor_geotiff/A 22585-2022 georefererad karta.tif", "A 22585-2022")</f>
        <v/>
      </c>
      <c r="AA7">
        <f>HYPERLINK("https://klasma.github.io/Logging_1495/klagomål/A 22585-2022 FSC-klagomål.docx", "A 22585-2022")</f>
        <v/>
      </c>
      <c r="AB7">
        <f>HYPERLINK("https://klasma.github.io/Logging_1495/klagomålsmail/A 22585-2022 FSC-klagomål mail.docx", "A 22585-2022")</f>
        <v/>
      </c>
      <c r="AC7">
        <f>HYPERLINK("https://klasma.github.io/Logging_1495/tillsyn/A 22585-2022 tillsynsbegäran.docx", "A 22585-2022")</f>
        <v/>
      </c>
      <c r="AD7">
        <f>HYPERLINK("https://klasma.github.io/Logging_1495/tillsynsmail/A 22585-2022 tillsynsbegäran mail.docx", "A 22585-2022")</f>
        <v/>
      </c>
    </row>
    <row r="8" ht="15" customHeight="1">
      <c r="A8" t="inlineStr">
        <is>
          <t>A 18736-2023</t>
        </is>
      </c>
      <c r="B8" t="inlineStr">
        <is>
          <t>avverkningsanmälan</t>
        </is>
      </c>
      <c r="C8" t="inlineStr">
        <is>
          <t>Föryngringsavverkning</t>
        </is>
      </c>
      <c r="D8" s="1" t="n">
        <v>45043</v>
      </c>
      <c r="E8" s="1" t="n">
        <v>46317</v>
      </c>
      <c r="F8" t="inlineStr">
        <is>
          <t>VÄSTRA GÖTALANDS LÄN</t>
        </is>
      </c>
      <c r="G8" t="inlineStr">
        <is>
          <t>SKARA</t>
        </is>
      </c>
      <c r="I8" t="n">
        <v>5.7</v>
      </c>
      <c r="J8" t="n">
        <v>1</v>
      </c>
      <c r="K8" t="n">
        <v>0</v>
      </c>
      <c r="L8" t="n">
        <v>0</v>
      </c>
      <c r="M8" t="n">
        <v>1</v>
      </c>
      <c r="N8" t="n">
        <v>0</v>
      </c>
      <c r="O8" t="n">
        <v>0</v>
      </c>
      <c r="P8" t="n">
        <v>0</v>
      </c>
      <c r="Q8" t="n">
        <v>1</v>
      </c>
      <c r="R8" t="n">
        <v>1</v>
      </c>
      <c r="S8" t="n">
        <v>2</v>
      </c>
      <c r="T8" t="n">
        <v>2</v>
      </c>
      <c r="U8" t="n">
        <v>2</v>
      </c>
      <c r="V8" s="2" t="inlineStr">
        <is>
          <t>Slåttergubbe
Revlummer</t>
        </is>
      </c>
      <c r="W8">
        <f>HYPERLINK("https://klasma.github.io/Logging_1495/artfynd/A 18736-2023 artfynd.xlsx", "A 18736-2023")</f>
        <v/>
      </c>
      <c r="X8">
        <f>HYPERLINK("https://klasma.github.io/Logging_1495/kartor/A 18736-2023 karta.png", "A 18736-2023")</f>
        <v/>
      </c>
      <c r="Y8">
        <f>HYPERLINK("https://klasma.github.io/Logging_1495/kartor_geotiff/A 18736-2023 georefererad karta.tif", "A 18736-2023")</f>
        <v/>
      </c>
      <c r="AA8">
        <f>HYPERLINK("https://klasma.github.io/Logging_1495/klagomål/A 18736-2023 FSC-klagomål.docx", "A 18736-2023")</f>
        <v/>
      </c>
      <c r="AB8">
        <f>HYPERLINK("https://klasma.github.io/Logging_1495/klagomålsmail/A 18736-2023 FSC-klagomål mail.docx", "A 18736-2023")</f>
        <v/>
      </c>
      <c r="AC8">
        <f>HYPERLINK("https://klasma.github.io/Logging_1495/tillsyn/A 18736-2023 tillsynsbegäran.docx", "A 18736-2023")</f>
        <v/>
      </c>
      <c r="AD8">
        <f>HYPERLINK("https://klasma.github.io/Logging_1495/tillsynsmail/A 18736-2023 tillsynsbegäran mail.docx", "A 18736-2023")</f>
        <v/>
      </c>
    </row>
    <row r="9" ht="15" customHeight="1">
      <c r="A9" t="inlineStr">
        <is>
          <t>A 4312-2023</t>
        </is>
      </c>
      <c r="B9" t="inlineStr">
        <is>
          <t>avverkningsanmälan</t>
        </is>
      </c>
      <c r="C9" t="inlineStr">
        <is>
          <t>Föryngringsavverkning</t>
        </is>
      </c>
      <c r="D9" s="1" t="n">
        <v>44953</v>
      </c>
      <c r="E9" s="1" t="n">
        <v>46317</v>
      </c>
      <c r="F9" t="inlineStr">
        <is>
          <t>VÄSTRA GÖTALANDS LÄN</t>
        </is>
      </c>
      <c r="G9" t="inlineStr">
        <is>
          <t>SKARA</t>
        </is>
      </c>
      <c r="I9" t="n">
        <v>4.1</v>
      </c>
      <c r="J9" t="n">
        <v>0</v>
      </c>
      <c r="K9" t="n">
        <v>0</v>
      </c>
      <c r="L9" t="n">
        <v>1</v>
      </c>
      <c r="M9" t="n">
        <v>1</v>
      </c>
      <c r="N9" t="n">
        <v>0</v>
      </c>
      <c r="O9" t="n">
        <v>0</v>
      </c>
      <c r="P9" t="n">
        <v>0</v>
      </c>
      <c r="Q9" t="n">
        <v>2</v>
      </c>
      <c r="R9" t="n">
        <v>1</v>
      </c>
      <c r="S9" t="n">
        <v>2</v>
      </c>
      <c r="T9" t="n">
        <v>2</v>
      </c>
      <c r="U9" t="n">
        <v>2</v>
      </c>
      <c r="V9" s="2" t="inlineStr">
        <is>
          <t>Hartmansstarr
Klasefibbla</t>
        </is>
      </c>
      <c r="W9">
        <f>HYPERLINK("https://klasma.github.io/Logging_1495/artfynd/A 4312-2023 artfynd.xlsx", "A 4312-2023")</f>
        <v/>
      </c>
      <c r="X9">
        <f>HYPERLINK("https://klasma.github.io/Logging_1495/kartor/A 4312-2023 karta.png", "A 4312-2023")</f>
        <v/>
      </c>
      <c r="Y9">
        <f>HYPERLINK("https://klasma.github.io/Logging_1495/kartor_geotiff/A 4312-2023 georefererad karta.tif", "A 4312-2023")</f>
        <v/>
      </c>
      <c r="AA9">
        <f>HYPERLINK("https://klasma.github.io/Logging_1495/klagomål/A 4312-2023 FSC-klagomål.docx", "A 4312-2023")</f>
        <v/>
      </c>
      <c r="AB9">
        <f>HYPERLINK("https://klasma.github.io/Logging_1495/klagomålsmail/A 4312-2023 FSC-klagomål mail.docx", "A 4312-2023")</f>
        <v/>
      </c>
      <c r="AC9">
        <f>HYPERLINK("https://klasma.github.io/Logging_1495/tillsyn/A 4312-2023 tillsynsbegäran.docx", "A 4312-2023")</f>
        <v/>
      </c>
      <c r="AD9">
        <f>HYPERLINK("https://klasma.github.io/Logging_1495/tillsynsmail/A 4312-2023 tillsynsbegäran mail.docx", "A 4312-2023")</f>
        <v/>
      </c>
    </row>
    <row r="10" ht="15" customHeight="1">
      <c r="A10" t="inlineStr">
        <is>
          <t>S 2565-2025</t>
        </is>
      </c>
      <c r="B10" t="inlineStr">
        <is>
          <t>samrådsanmälan</t>
        </is>
      </c>
      <c r="C10" t="inlineStr">
        <is>
          <t>Annan skogsbruksåtgärd</t>
        </is>
      </c>
      <c r="D10" s="1" t="n">
        <v>45915</v>
      </c>
      <c r="E10" s="1" t="n">
        <v>46317</v>
      </c>
      <c r="F10" t="inlineStr">
        <is>
          <t>VÄSTRA GÖTALANDS LÄN</t>
        </is>
      </c>
      <c r="G10" t="inlineStr">
        <is>
          <t>SKARA</t>
        </is>
      </c>
      <c r="I10" t="n">
        <v>2</v>
      </c>
      <c r="J10" t="n">
        <v>0</v>
      </c>
      <c r="K10" t="n">
        <v>1</v>
      </c>
      <c r="L10" t="n">
        <v>0</v>
      </c>
      <c r="M10" t="n">
        <v>0</v>
      </c>
      <c r="N10" t="n">
        <v>1</v>
      </c>
      <c r="O10" t="n">
        <v>0</v>
      </c>
      <c r="P10" t="n">
        <v>0</v>
      </c>
      <c r="Q10" t="n">
        <v>1</v>
      </c>
      <c r="R10" t="n">
        <v>1</v>
      </c>
      <c r="S10" t="n">
        <v>2</v>
      </c>
      <c r="T10" t="n">
        <v>4</v>
      </c>
      <c r="U10" t="n">
        <v>0</v>
      </c>
      <c r="V10" s="2" t="inlineStr">
        <is>
          <t>Ask
Hässleklocka</t>
        </is>
      </c>
      <c r="W10">
        <f>HYPERLINK("https://klasma.github.io/Logging_1495/artfynd/S 2565-2025 artfynd.xlsx", "S 2565-2025")</f>
        <v/>
      </c>
      <c r="X10">
        <f>HYPERLINK("https://klasma.github.io/Logging_1495/kartor/S 2565-2025 karta.png", "S 2565-2025")</f>
        <v/>
      </c>
      <c r="Y10">
        <f>HYPERLINK("https://klasma.github.io/Logging_1495/kartor_geotiff/S 2565-2025 georefererad karta.tif", "S 2565-2025")</f>
        <v/>
      </c>
      <c r="AA10">
        <f>HYPERLINK("https://klasma.github.io/Logging_1495/klagomål/S 2565-2025 FSC-klagomål.docx", "S 2565-2025")</f>
        <v/>
      </c>
      <c r="AB10">
        <f>HYPERLINK("https://klasma.github.io/Logging_1495/klagomålsmail/S 2565-2025 FSC-klagomål mail.docx", "S 2565-2025")</f>
        <v/>
      </c>
      <c r="AC10">
        <f>HYPERLINK("https://klasma.github.io/Logging_1495/tillsyn/S 2565-2025 tillsynsbegäran.docx", "S 2565-2025")</f>
        <v/>
      </c>
      <c r="AD10">
        <f>HYPERLINK("https://klasma.github.io/Logging_1495/tillsynsmail/S 2565-2025 tillsynsbegäran mail.docx", "S 2565-2025")</f>
        <v/>
      </c>
    </row>
    <row r="11" ht="15" customHeight="1">
      <c r="A11" t="inlineStr">
        <is>
          <t>A 9277-2023</t>
        </is>
      </c>
      <c r="B11" t="inlineStr">
        <is>
          <t>avverkningsanmälan</t>
        </is>
      </c>
      <c r="C11" t="inlineStr">
        <is>
          <t>Avverkning för annat ändamål</t>
        </is>
      </c>
      <c r="D11" s="1" t="n">
        <v>44980</v>
      </c>
      <c r="E11" s="1" t="n">
        <v>46317</v>
      </c>
      <c r="F11" t="inlineStr">
        <is>
          <t>VÄSTRA GÖTALANDS LÄN</t>
        </is>
      </c>
      <c r="G11" t="inlineStr">
        <is>
          <t>SKARA</t>
        </is>
      </c>
      <c r="I11" t="n">
        <v>1.3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t="n">
        <v>0</v>
      </c>
      <c r="S11" t="n">
        <v>1</v>
      </c>
      <c r="T11" t="n">
        <v>1</v>
      </c>
      <c r="U11" t="n">
        <v>1</v>
      </c>
      <c r="V11" s="2" t="inlineStr">
        <is>
          <t>Grönvit nattviol</t>
        </is>
      </c>
      <c r="W11">
        <f>HYPERLINK("https://klasma.github.io/Logging_1495/artfynd/A 9277-2023 artfynd.xlsx", "A 9277-2023")</f>
        <v/>
      </c>
      <c r="X11">
        <f>HYPERLINK("https://klasma.github.io/Logging_1495/kartor/A 9277-2023 karta.png", "A 9277-2023")</f>
        <v/>
      </c>
      <c r="Y11">
        <f>HYPERLINK("https://klasma.github.io/Logging_1495/kartor_geotiff/A 9277-2023 georefererad karta.tif", "A 9277-2023")</f>
        <v/>
      </c>
      <c r="AA11">
        <f>HYPERLINK("https://klasma.github.io/Logging_1495/klagomål/A 9277-2023 FSC-klagomål.docx", "A 9277-2023")</f>
        <v/>
      </c>
      <c r="AB11">
        <f>HYPERLINK("https://klasma.github.io/Logging_1495/klagomålsmail/A 9277-2023 FSC-klagomål mail.docx", "A 9277-2023")</f>
        <v/>
      </c>
      <c r="AC11">
        <f>HYPERLINK("https://klasma.github.io/Logging_1495/tillsyn/A 9277-2023 tillsynsbegäran.docx", "A 9277-2023")</f>
        <v/>
      </c>
      <c r="AD11">
        <f>HYPERLINK("https://klasma.github.io/Logging_1495/tillsynsmail/A 9277-2023 tillsynsbegäran mail.docx", "A 9277-2023")</f>
        <v/>
      </c>
    </row>
    <row r="12" ht="15" customHeight="1">
      <c r="A12" t="inlineStr">
        <is>
          <t>A 20063-2025</t>
        </is>
      </c>
      <c r="B12" t="inlineStr">
        <is>
          <t>avverkningsanmälan</t>
        </is>
      </c>
      <c r="C12" t="inlineStr">
        <is>
          <t>Avverkning för annat ändamål</t>
        </is>
      </c>
      <c r="D12" s="1" t="n">
        <v>45772</v>
      </c>
      <c r="E12" s="1" t="n">
        <v>46317</v>
      </c>
      <c r="F12" t="inlineStr">
        <is>
          <t>VÄSTRA GÖTALANDS LÄN</t>
        </is>
      </c>
      <c r="G12" t="inlineStr">
        <is>
          <t>SKARA</t>
        </is>
      </c>
      <c r="I12" t="n">
        <v>3.4</v>
      </c>
      <c r="J12" t="n">
        <v>0</v>
      </c>
      <c r="K12" t="n">
        <v>0</v>
      </c>
      <c r="L12" t="n">
        <v>1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t="n">
        <v>0</v>
      </c>
      <c r="S12" t="n">
        <v>1</v>
      </c>
      <c r="T12" t="n">
        <v>1</v>
      </c>
      <c r="U12" t="n">
        <v>0</v>
      </c>
      <c r="V12" s="2" t="inlineStr">
        <is>
          <t>Skinntagging</t>
        </is>
      </c>
      <c r="W12">
        <f>HYPERLINK("https://klasma.github.io/Logging_1495/artfynd/A 20063-2025 artfynd.xlsx", "A 20063-2025")</f>
        <v/>
      </c>
      <c r="X12">
        <f>HYPERLINK("https://klasma.github.io/Logging_1495/kartor/A 20063-2025 karta.png", "A 20063-2025")</f>
        <v/>
      </c>
      <c r="Y12">
        <f>HYPERLINK("https://klasma.github.io/Logging_1495/kartor_geotiff/A 20063-2025 georefererad karta.tif", "A 20063-2025")</f>
        <v/>
      </c>
      <c r="AA12">
        <f>HYPERLINK("https://klasma.github.io/Logging_1495/klagomål/A 20063-2025 FSC-klagomål.docx", "A 20063-2025")</f>
        <v/>
      </c>
      <c r="AB12">
        <f>HYPERLINK("https://klasma.github.io/Logging_1495/klagomålsmail/A 20063-2025 FSC-klagomål mail.docx", "A 20063-2025")</f>
        <v/>
      </c>
      <c r="AC12">
        <f>HYPERLINK("https://klasma.github.io/Logging_1495/tillsyn/A 20063-2025 tillsynsbegäran.docx", "A 20063-2025")</f>
        <v/>
      </c>
      <c r="AD12">
        <f>HYPERLINK("https://klasma.github.io/Logging_1495/tillsynsmail/A 20063-2025 tillsynsbegäran mail.docx", "A 20063-2025")</f>
        <v/>
      </c>
    </row>
    <row r="13" ht="15" customHeight="1">
      <c r="A13" t="inlineStr">
        <is>
          <t>A 55928-2025</t>
        </is>
      </c>
      <c r="B13" t="inlineStr">
        <is>
          <t>avverkningsanmälan</t>
        </is>
      </c>
      <c r="C13" t="inlineStr">
        <is>
          <t>Föryngringsavverkning</t>
        </is>
      </c>
      <c r="D13" s="1" t="n">
        <v>45973</v>
      </c>
      <c r="E13" s="1" t="n">
        <v>46317</v>
      </c>
      <c r="F13" t="inlineStr">
        <is>
          <t>VÄSTRA GÖTALANDS LÄN</t>
        </is>
      </c>
      <c r="G13" t="inlineStr">
        <is>
          <t>SKARA</t>
        </is>
      </c>
      <c r="H13" t="inlineStr">
        <is>
          <t>Sveaskog</t>
        </is>
      </c>
      <c r="I13" t="n">
        <v>5.1</v>
      </c>
      <c r="J13" t="n">
        <v>0</v>
      </c>
      <c r="K13" t="n">
        <v>0</v>
      </c>
      <c r="L13" t="n">
        <v>1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t="n">
        <v>0</v>
      </c>
      <c r="S13" t="n">
        <v>1</v>
      </c>
      <c r="T13" t="n">
        <v>3</v>
      </c>
      <c r="U13" t="n">
        <v>3</v>
      </c>
      <c r="V13" s="2" t="inlineStr">
        <is>
          <t>Motaggsvamp</t>
        </is>
      </c>
      <c r="W13">
        <f>HYPERLINK("https://klasma.github.io/Logging_1495/artfynd/A 55928-2025 artfynd.xlsx", "A 55928-2025")</f>
        <v/>
      </c>
      <c r="X13">
        <f>HYPERLINK("https://klasma.github.io/Logging_1495/kartor/A 55928-2025 karta.png", "A 55928-2025")</f>
        <v/>
      </c>
      <c r="Y13">
        <f>HYPERLINK("https://klasma.github.io/Logging_1495/kartor_geotiff/A 55928-2025 georefererad karta.tif", "A 55928-2025")</f>
        <v/>
      </c>
      <c r="AA13">
        <f>HYPERLINK("https://klasma.github.io/Logging_1495/klagomål/A 55928-2025 FSC-klagomål.docx", "A 55928-2025")</f>
        <v/>
      </c>
      <c r="AB13">
        <f>HYPERLINK("https://klasma.github.io/Logging_1495/klagomålsmail/A 55928-2025 FSC-klagomål mail.docx", "A 55928-2025")</f>
        <v/>
      </c>
      <c r="AC13">
        <f>HYPERLINK("https://klasma.github.io/Logging_1495/tillsyn/A 55928-2025 tillsynsbegäran.docx", "A 55928-2025")</f>
        <v/>
      </c>
      <c r="AD13">
        <f>HYPERLINK("https://klasma.github.io/Logging_1495/tillsynsmail/A 55928-2025 tillsynsbegäran mail.docx", "A 55928-2025")</f>
        <v/>
      </c>
    </row>
    <row r="14" ht="15" customHeight="1">
      <c r="A14" t="inlineStr">
        <is>
          <t>A 30080-2023</t>
        </is>
      </c>
      <c r="B14" t="inlineStr">
        <is>
          <t>avverkningsanmälan</t>
        </is>
      </c>
      <c r="C14" t="inlineStr">
        <is>
          <t>Föryngringsavverkning</t>
        </is>
      </c>
      <c r="D14" s="1" t="n">
        <v>45110</v>
      </c>
      <c r="E14" s="1" t="n">
        <v>46317</v>
      </c>
      <c r="F14" t="inlineStr">
        <is>
          <t>VÄSTRA GÖTALANDS LÄN</t>
        </is>
      </c>
      <c r="G14" t="inlineStr">
        <is>
          <t>SKARA</t>
        </is>
      </c>
      <c r="I14" t="n">
        <v>0.6</v>
      </c>
      <c r="J14" t="n">
        <v>0</v>
      </c>
      <c r="K14" t="n">
        <v>0</v>
      </c>
      <c r="L14" t="n">
        <v>0</v>
      </c>
      <c r="M14" t="n">
        <v>1</v>
      </c>
      <c r="N14" t="n">
        <v>0</v>
      </c>
      <c r="O14" t="n">
        <v>0</v>
      </c>
      <c r="P14" t="n">
        <v>0</v>
      </c>
      <c r="Q14" t="n">
        <v>1</v>
      </c>
      <c r="R14" t="n">
        <v>1</v>
      </c>
      <c r="S14" t="n">
        <v>1</v>
      </c>
      <c r="T14" t="n">
        <v>1</v>
      </c>
      <c r="U14" t="n">
        <v>1</v>
      </c>
      <c r="V14" s="2" t="inlineStr">
        <is>
          <t>Igelkott</t>
        </is>
      </c>
      <c r="W14">
        <f>HYPERLINK("https://klasma.github.io/Logging_1495/artfynd/A 30080-2023 artfynd.xlsx", "A 30080-2023")</f>
        <v/>
      </c>
      <c r="X14">
        <f>HYPERLINK("https://klasma.github.io/Logging_1495/kartor/A 30080-2023 karta.png", "A 30080-2023")</f>
        <v/>
      </c>
      <c r="Y14">
        <f>HYPERLINK("https://klasma.github.io/Logging_1495/kartor_geotiff/A 30080-2023 georefererad karta.tif", "A 30080-2023")</f>
        <v/>
      </c>
      <c r="AA14">
        <f>HYPERLINK("https://klasma.github.io/Logging_1495/klagomål/A 30080-2023 FSC-klagomål.docx", "A 30080-2023")</f>
        <v/>
      </c>
      <c r="AB14">
        <f>HYPERLINK("https://klasma.github.io/Logging_1495/klagomålsmail/A 30080-2023 FSC-klagomål mail.docx", "A 30080-2023")</f>
        <v/>
      </c>
      <c r="AC14">
        <f>HYPERLINK("https://klasma.github.io/Logging_1495/tillsyn/A 30080-2023 tillsynsbegäran.docx", "A 30080-2023")</f>
        <v/>
      </c>
      <c r="AD14">
        <f>HYPERLINK("https://klasma.github.io/Logging_1495/tillsynsmail/A 30080-2023 tillsynsbegäran mail.docx", "A 30080-2023")</f>
        <v/>
      </c>
    </row>
    <row r="15" ht="15" customHeight="1">
      <c r="A15" t="inlineStr">
        <is>
          <t>A 19729-2026</t>
        </is>
      </c>
      <c r="B15" t="inlineStr">
        <is>
          <t>avverkningsanmälan</t>
        </is>
      </c>
      <c r="C15" t="inlineStr">
        <is>
          <t>Föryngringsavverkning</t>
        </is>
      </c>
      <c r="D15" s="1" t="n">
        <v>46135</v>
      </c>
      <c r="E15" s="1" t="n">
        <v>46317</v>
      </c>
      <c r="F15" t="inlineStr">
        <is>
          <t>VÄSTRA GÖTALANDS LÄN</t>
        </is>
      </c>
      <c r="G15" t="inlineStr">
        <is>
          <t>SKARA</t>
        </is>
      </c>
      <c r="I15" t="n">
        <v>1.5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t="n">
        <v>0</v>
      </c>
      <c r="S15" t="n">
        <v>1</v>
      </c>
      <c r="T15" t="n">
        <v>1</v>
      </c>
      <c r="U15" t="n">
        <v>0</v>
      </c>
      <c r="V15" s="2" t="inlineStr">
        <is>
          <t>Grönvit nattviol</t>
        </is>
      </c>
      <c r="W15">
        <f>HYPERLINK("https://klasma.github.io/Logging_1495/artfynd/A 19729-2026 artfynd.xlsx", "A 19729-2026")</f>
        <v/>
      </c>
      <c r="X15">
        <f>HYPERLINK("https://klasma.github.io/Logging_1495/kartor/A 19729-2026 karta.png", "A 19729-2026")</f>
        <v/>
      </c>
      <c r="Y15">
        <f>HYPERLINK("https://klasma.github.io/Logging_1495/kartor_geotiff/A 19729-2026 georefererad karta.tif", "A 19729-2026")</f>
        <v/>
      </c>
      <c r="AA15">
        <f>HYPERLINK("https://klasma.github.io/Logging_1495/klagomål/A 19729-2026 FSC-klagomål.docx", "A 19729-2026")</f>
        <v/>
      </c>
      <c r="AB15">
        <f>HYPERLINK("https://klasma.github.io/Logging_1495/klagomålsmail/A 19729-2026 FSC-klagomål mail.docx", "A 19729-2026")</f>
        <v/>
      </c>
      <c r="AC15">
        <f>HYPERLINK("https://klasma.github.io/Logging_1495/tillsyn/A 19729-2026 tillsynsbegäran.docx", "A 19729-2026")</f>
        <v/>
      </c>
      <c r="AD15">
        <f>HYPERLINK("https://klasma.github.io/Logging_1495/tillsynsmail/A 19729-2026 tillsynsbegäran mail.docx", "A 19729-2026")</f>
        <v/>
      </c>
    </row>
    <row r="16" ht="15" customHeight="1">
      <c r="A16" t="inlineStr">
        <is>
          <t>A 23455-2026</t>
        </is>
      </c>
      <c r="B16" t="inlineStr">
        <is>
          <t>avverkningsanmälan</t>
        </is>
      </c>
      <c r="C16" t="inlineStr">
        <is>
          <t>Föryngringsavverkning</t>
        </is>
      </c>
      <c r="D16" s="1" t="n">
        <v>46163</v>
      </c>
      <c r="E16" s="1" t="n">
        <v>46317</v>
      </c>
      <c r="F16" t="inlineStr">
        <is>
          <t>VÄSTRA GÖTALANDS LÄN</t>
        </is>
      </c>
      <c r="G16" t="inlineStr">
        <is>
          <t>SKARA</t>
        </is>
      </c>
      <c r="H16" t="inlineStr">
        <is>
          <t>Sveaskog</t>
        </is>
      </c>
      <c r="I16" t="n">
        <v>1.1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t="n">
        <v>0</v>
      </c>
      <c r="S16" t="n">
        <v>1</v>
      </c>
      <c r="T16" t="n">
        <v>1</v>
      </c>
      <c r="U16" t="n">
        <v>0</v>
      </c>
      <c r="V16" s="2" t="inlineStr">
        <is>
          <t>Revlummer</t>
        </is>
      </c>
      <c r="W16">
        <f>HYPERLINK("https://klasma.github.io/Logging_1495/artfynd/A 23455-2026 artfynd.xlsx", "A 23455-2026")</f>
        <v/>
      </c>
      <c r="X16">
        <f>HYPERLINK("https://klasma.github.io/Logging_1495/kartor/A 23455-2026 karta.png", "A 23455-2026")</f>
        <v/>
      </c>
      <c r="Y16">
        <f>HYPERLINK("https://klasma.github.io/Logging_1495/kartor_geotiff/A 23455-2026 georefererad karta.tif", "A 23455-2026")</f>
        <v/>
      </c>
      <c r="AA16">
        <f>HYPERLINK("https://klasma.github.io/Logging_1495/klagomål/A 23455-2026 FSC-klagomål.docx", "A 23455-2026")</f>
        <v/>
      </c>
      <c r="AB16">
        <f>HYPERLINK("https://klasma.github.io/Logging_1495/klagomålsmail/A 23455-2026 FSC-klagomål mail.docx", "A 23455-2026")</f>
        <v/>
      </c>
      <c r="AC16">
        <f>HYPERLINK("https://klasma.github.io/Logging_1495/tillsyn/A 23455-2026 tillsynsbegäran.docx", "A 23455-2026")</f>
        <v/>
      </c>
      <c r="AD16">
        <f>HYPERLINK("https://klasma.github.io/Logging_1495/tillsynsmail/A 23455-2026 tillsynsbegäran mail.docx", "A 23455-2026")</f>
        <v/>
      </c>
    </row>
    <row r="17" ht="15" customHeight="1">
      <c r="A17" t="inlineStr">
        <is>
          <t>A 52041-2023</t>
        </is>
      </c>
      <c r="B17" t="inlineStr">
        <is>
          <t>avverkningsanmälan</t>
        </is>
      </c>
      <c r="C17" t="inlineStr">
        <is>
          <t>Föryngringsavverkning</t>
        </is>
      </c>
      <c r="D17" s="1" t="n">
        <v>45223</v>
      </c>
      <c r="E17" s="1" t="n">
        <v>46317</v>
      </c>
      <c r="F17" t="inlineStr">
        <is>
          <t>VÄSTRA GÖTALANDS LÄN</t>
        </is>
      </c>
      <c r="G17" t="inlineStr">
        <is>
          <t>SKARA</t>
        </is>
      </c>
      <c r="I17" t="n">
        <v>5.9</v>
      </c>
      <c r="J17" t="n">
        <v>0</v>
      </c>
      <c r="K17" t="n">
        <v>0</v>
      </c>
      <c r="L17" t="n">
        <v>1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t="n">
        <v>0</v>
      </c>
      <c r="S17" t="n">
        <v>1</v>
      </c>
      <c r="T17" t="n">
        <v>1</v>
      </c>
      <c r="U17" t="n">
        <v>1</v>
      </c>
      <c r="V17" s="2" t="inlineStr">
        <is>
          <t>Svinrot</t>
        </is>
      </c>
      <c r="W17">
        <f>HYPERLINK("https://klasma.github.io/Logging_1495/artfynd/A 52041-2023 artfynd.xlsx", "A 52041-2023")</f>
        <v/>
      </c>
      <c r="X17">
        <f>HYPERLINK("https://klasma.github.io/Logging_1495/kartor/A 52041-2023 karta.png", "A 52041-2023")</f>
        <v/>
      </c>
      <c r="Y17">
        <f>HYPERLINK("https://klasma.github.io/Logging_1495/kartor_geotiff/A 52041-2023 georefererad karta.tif", "A 52041-2023")</f>
        <v/>
      </c>
      <c r="AA17">
        <f>HYPERLINK("https://klasma.github.io/Logging_1495/klagomål/A 52041-2023 FSC-klagomål.docx", "A 52041-2023")</f>
        <v/>
      </c>
      <c r="AB17">
        <f>HYPERLINK("https://klasma.github.io/Logging_1495/klagomålsmail/A 52041-2023 FSC-klagomål mail.docx", "A 52041-2023")</f>
        <v/>
      </c>
      <c r="AC17">
        <f>HYPERLINK("https://klasma.github.io/Logging_1495/tillsyn/A 52041-2023 tillsynsbegäran.docx", "A 52041-2023")</f>
        <v/>
      </c>
      <c r="AD17">
        <f>HYPERLINK("https://klasma.github.io/Logging_1495/tillsynsmail/A 52041-2023 tillsynsbegäran mail.docx", "A 52041-2023")</f>
        <v/>
      </c>
    </row>
    <row r="18" ht="15" customHeight="1">
      <c r="A18" t="inlineStr">
        <is>
          <t>A 31736-2026</t>
        </is>
      </c>
      <c r="B18" t="inlineStr">
        <is>
          <t>avverkningsanmälan</t>
        </is>
      </c>
      <c r="C18" t="inlineStr">
        <is>
          <t>Avverkning för att bevara och utveckla /försöksver</t>
        </is>
      </c>
      <c r="D18" s="1" t="n">
        <v>46227</v>
      </c>
      <c r="E18" s="1" t="n">
        <v>46317</v>
      </c>
      <c r="F18" t="inlineStr">
        <is>
          <t>VÄSTRA GÖTALANDS LÄN</t>
        </is>
      </c>
      <c r="G18" t="inlineStr">
        <is>
          <t>SKARA</t>
        </is>
      </c>
      <c r="I18" t="n">
        <v>2.2</v>
      </c>
      <c r="J18" t="n">
        <v>0</v>
      </c>
      <c r="K18" t="n">
        <v>1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t="n">
        <v>0</v>
      </c>
      <c r="S18" t="n">
        <v>1</v>
      </c>
      <c r="T18" t="n">
        <v>1</v>
      </c>
      <c r="U18" t="n">
        <v>0</v>
      </c>
      <c r="V18" s="2" t="inlineStr">
        <is>
          <t>Dvärghäxört</t>
        </is>
      </c>
      <c r="W18">
        <f>HYPERLINK("https://klasma.github.io/Logging_1495/artfynd/A 31736-2026 artfynd.xlsx", "A 31736-2026")</f>
        <v/>
      </c>
      <c r="X18">
        <f>HYPERLINK("https://klasma.github.io/Logging_1495/kartor/A 31736-2026 karta.png", "A 31736-2026")</f>
        <v/>
      </c>
      <c r="Y18">
        <f>HYPERLINK("https://klasma.github.io/Logging_1495/kartor_geotiff/A 31736-2026 georefererad karta.tif", "A 31736-2026")</f>
        <v/>
      </c>
      <c r="AA18">
        <f>HYPERLINK("https://klasma.github.io/Logging_1495/klagomål/A 31736-2026 FSC-klagomål.docx", "A 31736-2026")</f>
        <v/>
      </c>
      <c r="AB18">
        <f>HYPERLINK("https://klasma.github.io/Logging_1495/klagomålsmail/A 31736-2026 FSC-klagomål mail.docx", "A 31736-2026")</f>
        <v/>
      </c>
      <c r="AC18">
        <f>HYPERLINK("https://klasma.github.io/Logging_1495/tillsyn/A 31736-2026 tillsynsbegäran.docx", "A 31736-2026")</f>
        <v/>
      </c>
      <c r="AD18">
        <f>HYPERLINK("https://klasma.github.io/Logging_1495/tillsynsmail/A 31736-2026 tillsynsbegäran mail.docx", "A 31736-2026")</f>
        <v/>
      </c>
    </row>
    <row r="19" ht="15" customHeight="1">
      <c r="A19" t="inlineStr">
        <is>
          <t>A 36670-2026</t>
        </is>
      </c>
      <c r="B19" t="inlineStr">
        <is>
          <t>avverkningsanmälan</t>
        </is>
      </c>
      <c r="C19" t="inlineStr">
        <is>
          <t>Föryngringsavverkning</t>
        </is>
      </c>
      <c r="D19" s="1" t="n">
        <v>46272</v>
      </c>
      <c r="E19" s="1" t="n">
        <v>46317</v>
      </c>
      <c r="F19" t="inlineStr">
        <is>
          <t>VÄSTRA GÖTALANDS LÄN</t>
        </is>
      </c>
      <c r="G19" t="inlineStr">
        <is>
          <t>SKARA</t>
        </is>
      </c>
      <c r="I19" t="n">
        <v>2.3</v>
      </c>
      <c r="J19" t="n">
        <v>0</v>
      </c>
      <c r="K19" t="n">
        <v>0</v>
      </c>
      <c r="L19" t="n">
        <v>0</v>
      </c>
      <c r="M19" t="n">
        <v>0</v>
      </c>
      <c r="N19" t="n">
        <v>1</v>
      </c>
      <c r="O19" t="n">
        <v>0</v>
      </c>
      <c r="P19" t="n">
        <v>0</v>
      </c>
      <c r="Q19" t="n">
        <v>1</v>
      </c>
      <c r="R19" t="n">
        <v>1</v>
      </c>
      <c r="S19" t="n">
        <v>1</v>
      </c>
      <c r="T19" t="n">
        <v>1</v>
      </c>
      <c r="U19" t="n">
        <v>0</v>
      </c>
      <c r="V19" s="2" t="inlineStr">
        <is>
          <t>Almrostöra</t>
        </is>
      </c>
      <c r="W19">
        <f>HYPERLINK("https://klasma.github.io/Logging_1495/artfynd/A 36670-2026 artfynd.xlsx", "A 36670-2026")</f>
        <v/>
      </c>
      <c r="X19">
        <f>HYPERLINK("https://klasma.github.io/Logging_1495/kartor/A 36670-2026 karta.png", "A 36670-2026")</f>
        <v/>
      </c>
      <c r="Y19">
        <f>HYPERLINK("https://klasma.github.io/Logging_1495/kartor_geotiff/A 36670-2026 georefererad karta.tif", "A 36670-2026")</f>
        <v/>
      </c>
      <c r="AA19">
        <f>HYPERLINK("https://klasma.github.io/Logging_1495/klagomål/A 36670-2026 FSC-klagomål.docx", "A 36670-2026")</f>
        <v/>
      </c>
      <c r="AB19">
        <f>HYPERLINK("https://klasma.github.io/Logging_1495/klagomålsmail/A 36670-2026 FSC-klagomål mail.docx", "A 36670-2026")</f>
        <v/>
      </c>
      <c r="AC19">
        <f>HYPERLINK("https://klasma.github.io/Logging_1495/tillsyn/A 36670-2026 tillsynsbegäran.docx", "A 36670-2026")</f>
        <v/>
      </c>
      <c r="AD19">
        <f>HYPERLINK("https://klasma.github.io/Logging_1495/tillsynsmail/A 36670-2026 tillsynsbegäran mail.docx", "A 36670-2026")</f>
        <v/>
      </c>
    </row>
    <row r="20" ht="15" customHeight="1">
      <c r="A20" t="inlineStr">
        <is>
          <t>S 725-2026</t>
        </is>
      </c>
      <c r="B20" t="inlineStr">
        <is>
          <t>samrådsanmälan</t>
        </is>
      </c>
      <c r="C20" t="inlineStr">
        <is>
          <t>Askåterföring</t>
        </is>
      </c>
      <c r="D20" s="1" t="n">
        <v>46093</v>
      </c>
      <c r="E20" s="1" t="n">
        <v>46317</v>
      </c>
      <c r="F20" t="inlineStr">
        <is>
          <t>VÄSTRA GÖTALANDS LÄN</t>
        </is>
      </c>
      <c r="G20" t="inlineStr">
        <is>
          <t>SKARA</t>
        </is>
      </c>
      <c r="H20" t="inlineStr">
        <is>
          <t>Sveaskog</t>
        </is>
      </c>
      <c r="I20" t="n">
        <v>520.8</v>
      </c>
      <c r="J20" t="n">
        <v>0</v>
      </c>
      <c r="K20" t="n">
        <v>1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t="n">
        <v>0</v>
      </c>
      <c r="S20" t="n">
        <v>1</v>
      </c>
      <c r="T20" t="n">
        <v>1</v>
      </c>
      <c r="U20" t="n">
        <v>0</v>
      </c>
      <c r="V20" s="2" t="inlineStr">
        <is>
          <t>Vågbandad barkbock</t>
        </is>
      </c>
      <c r="W20">
        <f>HYPERLINK("https://klasma.github.io/Logging_1495/artfynd/S 725-2026 artfynd.xlsx", "S 725-2026")</f>
        <v/>
      </c>
      <c r="X20">
        <f>HYPERLINK("https://klasma.github.io/Logging_1495/kartor/S 725-2026 karta.png", "S 725-2026")</f>
        <v/>
      </c>
      <c r="Y20">
        <f>HYPERLINK("https://klasma.github.io/Logging_1495/kartor_geotiff/S 725-2026 georefererad karta.tif", "S 725-2026")</f>
        <v/>
      </c>
      <c r="AA20">
        <f>HYPERLINK("https://klasma.github.io/Logging_1495/klagomål/S 725-2026 FSC-klagomål.docx", "S 725-2026")</f>
        <v/>
      </c>
      <c r="AB20">
        <f>HYPERLINK("https://klasma.github.io/Logging_1495/klagomålsmail/S 725-2026 FSC-klagomål mail.docx", "S 725-2026")</f>
        <v/>
      </c>
      <c r="AC20">
        <f>HYPERLINK("https://klasma.github.io/Logging_1495/tillsyn/S 725-2026 tillsynsbegäran.docx", "S 725-2026")</f>
        <v/>
      </c>
      <c r="AD20">
        <f>HYPERLINK("https://klasma.github.io/Logging_1495/tillsynsmail/S 725-2026 tillsynsbegäran mail.docx", "S 725-2026")</f>
        <v/>
      </c>
    </row>
    <row r="21" ht="15" customHeight="1">
      <c r="A21" t="inlineStr">
        <is>
          <t>A 74438-2021</t>
        </is>
      </c>
      <c r="B21" t="inlineStr">
        <is>
          <t>avverkningsanmälan</t>
        </is>
      </c>
      <c r="C21" t="inlineStr">
        <is>
          <t>Föryngringsavverkning</t>
        </is>
      </c>
      <c r="D21" s="1" t="n">
        <v>44560</v>
      </c>
      <c r="E21" s="1" t="n">
        <v>46317</v>
      </c>
      <c r="F21" t="inlineStr">
        <is>
          <t>VÄSTRA GÖTALANDS LÄN</t>
        </is>
      </c>
      <c r="G21" t="inlineStr">
        <is>
          <t>SKARA</t>
        </is>
      </c>
      <c r="I21" t="n">
        <v>3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t="n">
        <v>0</v>
      </c>
      <c r="S21" t="n">
        <v>0</v>
      </c>
      <c r="T21" t="n">
        <v>0</v>
      </c>
      <c r="U21" t="n">
        <v>0</v>
      </c>
      <c r="V21" s="2" t="inlineStr"/>
    </row>
    <row r="22" ht="15" customHeight="1">
      <c r="A22" t="inlineStr">
        <is>
          <t>A 35607-2022</t>
        </is>
      </c>
      <c r="B22" t="inlineStr">
        <is>
          <t>avverkningsanmälan</t>
        </is>
      </c>
      <c r="C22" t="inlineStr">
        <is>
          <t>Föryngringsavverkning</t>
        </is>
      </c>
      <c r="D22" s="1" t="n">
        <v>44799</v>
      </c>
      <c r="E22" s="1" t="n">
        <v>46317</v>
      </c>
      <c r="F22" t="inlineStr">
        <is>
          <t>VÄSTRA GÖTALANDS LÄN</t>
        </is>
      </c>
      <c r="G22" t="inlineStr">
        <is>
          <t>SKARA</t>
        </is>
      </c>
      <c r="I22" t="n">
        <v>1.9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t="n">
        <v>0</v>
      </c>
      <c r="S22" t="n">
        <v>0</v>
      </c>
      <c r="T22" t="n">
        <v>0</v>
      </c>
      <c r="U22" t="n">
        <v>0</v>
      </c>
      <c r="V22" s="2" t="inlineStr"/>
    </row>
    <row r="23" ht="15" customHeight="1">
      <c r="A23" t="inlineStr">
        <is>
          <t>A 29874-2022</t>
        </is>
      </c>
      <c r="B23" t="inlineStr">
        <is>
          <t>avverkningsanmälan</t>
        </is>
      </c>
      <c r="C23" t="inlineStr">
        <is>
          <t>Föryngringsavverkning</t>
        </is>
      </c>
      <c r="D23" s="1" t="n">
        <v>44756</v>
      </c>
      <c r="E23" s="1" t="n">
        <v>46317</v>
      </c>
      <c r="F23" t="inlineStr">
        <is>
          <t>VÄSTRA GÖTALANDS LÄN</t>
        </is>
      </c>
      <c r="G23" t="inlineStr">
        <is>
          <t>SKARA</t>
        </is>
      </c>
      <c r="I23" t="n">
        <v>0.2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t="n">
        <v>0</v>
      </c>
      <c r="S23" t="n">
        <v>0</v>
      </c>
      <c r="T23" t="n">
        <v>0</v>
      </c>
      <c r="U23" t="n">
        <v>0</v>
      </c>
      <c r="V23" s="2" t="inlineStr"/>
    </row>
    <row r="24" ht="15" customHeight="1">
      <c r="A24" t="inlineStr">
        <is>
          <t>A 70412-2021</t>
        </is>
      </c>
      <c r="B24" t="inlineStr">
        <is>
          <t>avverkningsanmälan</t>
        </is>
      </c>
      <c r="C24" t="inlineStr">
        <is>
          <t>Föryngringsavverkning</t>
        </is>
      </c>
      <c r="D24" s="1" t="n">
        <v>44536</v>
      </c>
      <c r="E24" s="1" t="n">
        <v>46317</v>
      </c>
      <c r="F24" t="inlineStr">
        <is>
          <t>VÄSTRA GÖTALANDS LÄN</t>
        </is>
      </c>
      <c r="G24" t="inlineStr">
        <is>
          <t>SKARA</t>
        </is>
      </c>
      <c r="I24" t="n">
        <v>0.9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t="n">
        <v>0</v>
      </c>
      <c r="S24" t="n">
        <v>0</v>
      </c>
      <c r="T24" t="n">
        <v>0</v>
      </c>
      <c r="U24" t="n">
        <v>0</v>
      </c>
      <c r="V24" s="2" t="inlineStr"/>
    </row>
    <row r="25" ht="15" customHeight="1">
      <c r="A25" t="inlineStr">
        <is>
          <t>A 74491-2021</t>
        </is>
      </c>
      <c r="B25" t="inlineStr">
        <is>
          <t>avverkningsanmälan</t>
        </is>
      </c>
      <c r="C25" t="inlineStr">
        <is>
          <t>Föryngringsavverkning</t>
        </is>
      </c>
      <c r="D25" s="1" t="n">
        <v>44560</v>
      </c>
      <c r="E25" s="1" t="n">
        <v>46317</v>
      </c>
      <c r="F25" t="inlineStr">
        <is>
          <t>VÄSTRA GÖTALANDS LÄN</t>
        </is>
      </c>
      <c r="G25" t="inlineStr">
        <is>
          <t>SKARA</t>
        </is>
      </c>
      <c r="I25" t="n">
        <v>0.5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t="n">
        <v>0</v>
      </c>
      <c r="S25" t="n">
        <v>0</v>
      </c>
      <c r="T25" t="n">
        <v>0</v>
      </c>
      <c r="U25" t="n">
        <v>0</v>
      </c>
      <c r="V25" s="2" t="inlineStr"/>
    </row>
    <row r="26" ht="15" customHeight="1">
      <c r="A26" t="inlineStr">
        <is>
          <t>A 6251-2022</t>
        </is>
      </c>
      <c r="B26" t="inlineStr">
        <is>
          <t>avverkningsanmälan</t>
        </is>
      </c>
      <c r="C26" t="inlineStr">
        <is>
          <t>Föryngringsavverkning</t>
        </is>
      </c>
      <c r="D26" s="1" t="n">
        <v>44600</v>
      </c>
      <c r="E26" s="1" t="n">
        <v>46317</v>
      </c>
      <c r="F26" t="inlineStr">
        <is>
          <t>VÄSTRA GÖTALANDS LÄN</t>
        </is>
      </c>
      <c r="G26" t="inlineStr">
        <is>
          <t>SKARA</t>
        </is>
      </c>
      <c r="H26" t="inlineStr">
        <is>
          <t>Sveaskog</t>
        </is>
      </c>
      <c r="I26" t="n">
        <v>5.2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t="n">
        <v>0</v>
      </c>
      <c r="S26" t="n">
        <v>0</v>
      </c>
      <c r="T26" t="n">
        <v>0</v>
      </c>
      <c r="U26" t="n">
        <v>0</v>
      </c>
      <c r="V26" s="2" t="inlineStr"/>
    </row>
    <row r="27" ht="15" customHeight="1">
      <c r="A27" t="inlineStr">
        <is>
          <t>A 52537-2022</t>
        </is>
      </c>
      <c r="B27" t="inlineStr">
        <is>
          <t>avverkningsanmälan</t>
        </is>
      </c>
      <c r="C27" t="inlineStr">
        <is>
          <t>Föryngringsavverkning</t>
        </is>
      </c>
      <c r="D27" s="1" t="n">
        <v>44874</v>
      </c>
      <c r="E27" s="1" t="n">
        <v>46317</v>
      </c>
      <c r="F27" t="inlineStr">
        <is>
          <t>VÄSTRA GÖTALANDS LÄN</t>
        </is>
      </c>
      <c r="G27" t="inlineStr">
        <is>
          <t>SKARA</t>
        </is>
      </c>
      <c r="I27" t="n">
        <v>2.1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t="n">
        <v>0</v>
      </c>
      <c r="S27" t="n">
        <v>0</v>
      </c>
      <c r="T27" t="n">
        <v>0</v>
      </c>
      <c r="U27" t="n">
        <v>0</v>
      </c>
      <c r="V27" s="2" t="inlineStr"/>
    </row>
    <row r="28" ht="15" customHeight="1">
      <c r="A28" t="inlineStr">
        <is>
          <t>A 5594-2022</t>
        </is>
      </c>
      <c r="B28" t="inlineStr">
        <is>
          <t>avverkningsanmälan</t>
        </is>
      </c>
      <c r="C28" t="inlineStr">
        <is>
          <t>Föryngringsavverkning</t>
        </is>
      </c>
      <c r="D28" s="1" t="n">
        <v>44595</v>
      </c>
      <c r="E28" s="1" t="n">
        <v>46317</v>
      </c>
      <c r="F28" t="inlineStr">
        <is>
          <t>VÄSTRA GÖTALANDS LÄN</t>
        </is>
      </c>
      <c r="G28" t="inlineStr">
        <is>
          <t>SKARA</t>
        </is>
      </c>
      <c r="I28" t="n">
        <v>2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t="n">
        <v>0</v>
      </c>
      <c r="S28" t="n">
        <v>0</v>
      </c>
      <c r="T28" t="n">
        <v>0</v>
      </c>
      <c r="U28" t="n">
        <v>0</v>
      </c>
      <c r="V28" s="2" t="inlineStr"/>
    </row>
    <row r="29" ht="15" customHeight="1">
      <c r="A29" t="inlineStr">
        <is>
          <t>A 5600-2022</t>
        </is>
      </c>
      <c r="B29" t="inlineStr">
        <is>
          <t>avverkningsanmälan</t>
        </is>
      </c>
      <c r="C29" t="inlineStr">
        <is>
          <t>Föryngringsavverkning</t>
        </is>
      </c>
      <c r="D29" s="1" t="n">
        <v>44595</v>
      </c>
      <c r="E29" s="1" t="n">
        <v>46317</v>
      </c>
      <c r="F29" t="inlineStr">
        <is>
          <t>VÄSTRA GÖTALANDS LÄN</t>
        </is>
      </c>
      <c r="G29" t="inlineStr">
        <is>
          <t>SKARA</t>
        </is>
      </c>
      <c r="I29" t="n">
        <v>8.9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t="n">
        <v>0</v>
      </c>
      <c r="S29" t="n">
        <v>0</v>
      </c>
      <c r="T29" t="n">
        <v>0</v>
      </c>
      <c r="U29" t="n">
        <v>0</v>
      </c>
      <c r="V29" s="2" t="inlineStr"/>
    </row>
    <row r="30" ht="15" customHeight="1">
      <c r="A30" t="inlineStr">
        <is>
          <t>A 15415-2022</t>
        </is>
      </c>
      <c r="B30" t="inlineStr">
        <is>
          <t>avverkningsanmälan</t>
        </is>
      </c>
      <c r="C30" t="inlineStr">
        <is>
          <t>Föryngringsavverkning</t>
        </is>
      </c>
      <c r="D30" s="1" t="n">
        <v>44659</v>
      </c>
      <c r="E30" s="1" t="n">
        <v>46317</v>
      </c>
      <c r="F30" t="inlineStr">
        <is>
          <t>VÄSTRA GÖTALANDS LÄN</t>
        </is>
      </c>
      <c r="G30" t="inlineStr">
        <is>
          <t>SKARA</t>
        </is>
      </c>
      <c r="H30" t="inlineStr">
        <is>
          <t>Kommuner</t>
        </is>
      </c>
      <c r="I30" t="n">
        <v>2.4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t="n">
        <v>0</v>
      </c>
      <c r="S30" t="n">
        <v>0</v>
      </c>
      <c r="T30" t="n">
        <v>0</v>
      </c>
      <c r="U30" t="n">
        <v>0</v>
      </c>
      <c r="V30" s="2" t="inlineStr"/>
    </row>
    <row r="31" ht="15" customHeight="1">
      <c r="A31" t="inlineStr">
        <is>
          <t>A 72213-2021</t>
        </is>
      </c>
      <c r="B31" t="inlineStr">
        <is>
          <t>avverkningsanmälan</t>
        </is>
      </c>
      <c r="C31" t="inlineStr">
        <is>
          <t>Föryngringsavverkning</t>
        </is>
      </c>
      <c r="D31" s="1" t="n">
        <v>44544</v>
      </c>
      <c r="E31" s="1" t="n">
        <v>46317</v>
      </c>
      <c r="F31" t="inlineStr">
        <is>
          <t>VÄSTRA GÖTALANDS LÄN</t>
        </is>
      </c>
      <c r="G31" t="inlineStr">
        <is>
          <t>SKARA</t>
        </is>
      </c>
      <c r="I31" t="n">
        <v>2.9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t="n">
        <v>0</v>
      </c>
      <c r="S31" t="n">
        <v>0</v>
      </c>
      <c r="T31" t="n">
        <v>0</v>
      </c>
      <c r="U31" t="n">
        <v>0</v>
      </c>
      <c r="V31" s="2" t="inlineStr"/>
    </row>
    <row r="32" ht="15" customHeight="1">
      <c r="A32" t="inlineStr">
        <is>
          <t>A 24976-2022</t>
        </is>
      </c>
      <c r="B32" t="inlineStr">
        <is>
          <t>avverkningsanmälan</t>
        </is>
      </c>
      <c r="C32" t="inlineStr">
        <is>
          <t>Föryngringsavverkning</t>
        </is>
      </c>
      <c r="D32" s="1" t="n">
        <v>44728</v>
      </c>
      <c r="E32" s="1" t="n">
        <v>46317</v>
      </c>
      <c r="F32" t="inlineStr">
        <is>
          <t>VÄSTRA GÖTALANDS LÄN</t>
        </is>
      </c>
      <c r="G32" t="inlineStr">
        <is>
          <t>SKARA</t>
        </is>
      </c>
      <c r="I32" t="n">
        <v>0.8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t="n">
        <v>0</v>
      </c>
      <c r="S32" t="n">
        <v>0</v>
      </c>
      <c r="T32" t="n">
        <v>0</v>
      </c>
      <c r="U32" t="n">
        <v>0</v>
      </c>
      <c r="V32" s="2" t="inlineStr"/>
    </row>
    <row r="33" ht="15" customHeight="1">
      <c r="A33" t="inlineStr">
        <is>
          <t>A 4409-2022</t>
        </is>
      </c>
      <c r="B33" t="inlineStr">
        <is>
          <t>avverkningsanmälan</t>
        </is>
      </c>
      <c r="C33" t="inlineStr">
        <is>
          <t>Föryngringsavverkning</t>
        </is>
      </c>
      <c r="D33" s="1" t="n">
        <v>44589</v>
      </c>
      <c r="E33" s="1" t="n">
        <v>46317</v>
      </c>
      <c r="F33" t="inlineStr">
        <is>
          <t>VÄSTRA GÖTALANDS LÄN</t>
        </is>
      </c>
      <c r="G33" t="inlineStr">
        <is>
          <t>SKARA</t>
        </is>
      </c>
      <c r="I33" t="n">
        <v>0.6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t="n">
        <v>0</v>
      </c>
      <c r="S33" t="n">
        <v>0</v>
      </c>
      <c r="T33" t="n">
        <v>0</v>
      </c>
      <c r="U33" t="n">
        <v>0</v>
      </c>
      <c r="V33" s="2" t="inlineStr"/>
    </row>
    <row r="34" ht="15" customHeight="1">
      <c r="A34" t="inlineStr">
        <is>
          <t>A 38210-2022</t>
        </is>
      </c>
      <c r="B34" t="inlineStr">
        <is>
          <t>avverkningsanmälan</t>
        </is>
      </c>
      <c r="C34" t="inlineStr">
        <is>
          <t>Föryngringsavverkning</t>
        </is>
      </c>
      <c r="D34" s="1" t="n">
        <v>44812</v>
      </c>
      <c r="E34" s="1" t="n">
        <v>46317</v>
      </c>
      <c r="F34" t="inlineStr">
        <is>
          <t>VÄSTRA GÖTALANDS LÄN</t>
        </is>
      </c>
      <c r="G34" t="inlineStr">
        <is>
          <t>SKARA</t>
        </is>
      </c>
      <c r="I34" t="n">
        <v>3.4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t="n">
        <v>0</v>
      </c>
      <c r="S34" t="n">
        <v>0</v>
      </c>
      <c r="T34" t="n">
        <v>0</v>
      </c>
      <c r="U34" t="n">
        <v>0</v>
      </c>
      <c r="V34" s="2" t="inlineStr"/>
    </row>
    <row r="35" ht="15" customHeight="1">
      <c r="A35" t="inlineStr">
        <is>
          <t>A 68932-2021</t>
        </is>
      </c>
      <c r="B35" t="inlineStr">
        <is>
          <t>avverkningsanmälan</t>
        </is>
      </c>
      <c r="C35" t="inlineStr">
        <is>
          <t>Föryngringsavverkning</t>
        </is>
      </c>
      <c r="D35" s="1" t="n">
        <v>44530</v>
      </c>
      <c r="E35" s="1" t="n">
        <v>46317</v>
      </c>
      <c r="F35" t="inlineStr">
        <is>
          <t>VÄSTRA GÖTALANDS LÄN</t>
        </is>
      </c>
      <c r="G35" t="inlineStr">
        <is>
          <t>SKARA</t>
        </is>
      </c>
      <c r="I35" t="n">
        <v>0.3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t="n">
        <v>0</v>
      </c>
      <c r="S35" t="n">
        <v>0</v>
      </c>
      <c r="T35" t="n">
        <v>0</v>
      </c>
      <c r="U35" t="n">
        <v>0</v>
      </c>
      <c r="V35" s="2" t="inlineStr"/>
    </row>
    <row r="36" ht="15" customHeight="1">
      <c r="A36" t="inlineStr">
        <is>
          <t>A 40164-2022</t>
        </is>
      </c>
      <c r="B36" t="inlineStr">
        <is>
          <t>avverkningsanmälan</t>
        </is>
      </c>
      <c r="C36" t="inlineStr">
        <is>
          <t>Föryngringsavverkning</t>
        </is>
      </c>
      <c r="D36" s="1" t="n">
        <v>44818</v>
      </c>
      <c r="E36" s="1" t="n">
        <v>46317</v>
      </c>
      <c r="F36" t="inlineStr">
        <is>
          <t>VÄSTRA GÖTALANDS LÄN</t>
        </is>
      </c>
      <c r="G36" t="inlineStr">
        <is>
          <t>SKARA</t>
        </is>
      </c>
      <c r="I36" t="n">
        <v>1.3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t="n">
        <v>0</v>
      </c>
      <c r="S36" t="n">
        <v>0</v>
      </c>
      <c r="T36" t="n">
        <v>0</v>
      </c>
      <c r="U36" t="n">
        <v>0</v>
      </c>
      <c r="V36" s="2" t="inlineStr"/>
    </row>
    <row r="37" ht="15" customHeight="1">
      <c r="A37" t="inlineStr">
        <is>
          <t>A 62890-2023</t>
        </is>
      </c>
      <c r="B37" t="inlineStr">
        <is>
          <t>avverkningsanmälan</t>
        </is>
      </c>
      <c r="C37" t="inlineStr">
        <is>
          <t>Föryngringsavverkning</t>
        </is>
      </c>
      <c r="D37" s="1" t="n">
        <v>45272</v>
      </c>
      <c r="E37" s="1" t="n">
        <v>46317</v>
      </c>
      <c r="F37" t="inlineStr">
        <is>
          <t>VÄSTRA GÖTALANDS LÄN</t>
        </is>
      </c>
      <c r="G37" t="inlineStr">
        <is>
          <t>SKARA</t>
        </is>
      </c>
      <c r="I37" t="n">
        <v>7.6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t="n">
        <v>0</v>
      </c>
      <c r="S37" t="n">
        <v>0</v>
      </c>
      <c r="T37" t="n">
        <v>0</v>
      </c>
      <c r="U37" t="n">
        <v>0</v>
      </c>
      <c r="V37" s="2" t="inlineStr"/>
    </row>
    <row r="38" ht="15" customHeight="1">
      <c r="A38" t="inlineStr">
        <is>
          <t>A 14844-2024</t>
        </is>
      </c>
      <c r="B38" t="inlineStr">
        <is>
          <t>avverkningsanmälan</t>
        </is>
      </c>
      <c r="C38" t="inlineStr">
        <is>
          <t>Föryngringsavverkning</t>
        </is>
      </c>
      <c r="D38" s="1" t="n">
        <v>45398</v>
      </c>
      <c r="E38" s="1" t="n">
        <v>46317</v>
      </c>
      <c r="F38" t="inlineStr">
        <is>
          <t>VÄSTRA GÖTALANDS LÄN</t>
        </is>
      </c>
      <c r="G38" t="inlineStr">
        <is>
          <t>SKARA</t>
        </is>
      </c>
      <c r="H38" t="inlineStr">
        <is>
          <t>Kommuner</t>
        </is>
      </c>
      <c r="I38" t="n">
        <v>2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t="n">
        <v>0</v>
      </c>
      <c r="S38" t="n">
        <v>0</v>
      </c>
      <c r="T38" t="n">
        <v>0</v>
      </c>
      <c r="U38" t="n">
        <v>0</v>
      </c>
      <c r="V38" s="2" t="inlineStr"/>
    </row>
    <row r="39" ht="15" customHeight="1">
      <c r="A39" t="inlineStr">
        <is>
          <t>A 48098-2022</t>
        </is>
      </c>
      <c r="B39" t="inlineStr">
        <is>
          <t>avverkningsanmälan</t>
        </is>
      </c>
      <c r="C39" t="inlineStr">
        <is>
          <t>Föryngringsavverkning</t>
        </is>
      </c>
      <c r="D39" s="1" t="n">
        <v>44856</v>
      </c>
      <c r="E39" s="1" t="n">
        <v>46317</v>
      </c>
      <c r="F39" t="inlineStr">
        <is>
          <t>VÄSTRA GÖTALANDS LÄN</t>
        </is>
      </c>
      <c r="G39" t="inlineStr">
        <is>
          <t>SKARA</t>
        </is>
      </c>
      <c r="I39" t="n">
        <v>1.2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t="n">
        <v>0</v>
      </c>
      <c r="S39" t="n">
        <v>0</v>
      </c>
      <c r="T39" t="n">
        <v>0</v>
      </c>
      <c r="U39" t="n">
        <v>0</v>
      </c>
      <c r="V39" s="2" t="inlineStr"/>
    </row>
    <row r="40" ht="15" customHeight="1">
      <c r="A40" t="inlineStr">
        <is>
          <t>A 5825-2024</t>
        </is>
      </c>
      <c r="B40" t="inlineStr">
        <is>
          <t>avverkningsanmälan</t>
        </is>
      </c>
      <c r="C40" t="inlineStr">
        <is>
          <t>Föryngringsavverkning</t>
        </is>
      </c>
      <c r="D40" s="1" t="n">
        <v>45335</v>
      </c>
      <c r="E40" s="1" t="n">
        <v>46317</v>
      </c>
      <c r="F40" t="inlineStr">
        <is>
          <t>VÄSTRA GÖTALANDS LÄN</t>
        </is>
      </c>
      <c r="G40" t="inlineStr">
        <is>
          <t>SKARA</t>
        </is>
      </c>
      <c r="I40" t="n">
        <v>0.2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t="n">
        <v>0</v>
      </c>
      <c r="S40" t="n">
        <v>0</v>
      </c>
      <c r="T40" t="n">
        <v>0</v>
      </c>
      <c r="U40" t="n">
        <v>0</v>
      </c>
      <c r="V40" s="2" t="inlineStr"/>
    </row>
    <row r="41" ht="15" customHeight="1">
      <c r="A41" t="inlineStr">
        <is>
          <t>A 49002-2022</t>
        </is>
      </c>
      <c r="B41" t="inlineStr">
        <is>
          <t>avverkningsanmälan</t>
        </is>
      </c>
      <c r="C41" t="inlineStr">
        <is>
          <t>Föryngringsavverkning</t>
        </is>
      </c>
      <c r="D41" s="1" t="n">
        <v>44860</v>
      </c>
      <c r="E41" s="1" t="n">
        <v>46317</v>
      </c>
      <c r="F41" t="inlineStr">
        <is>
          <t>VÄSTRA GÖTALANDS LÄN</t>
        </is>
      </c>
      <c r="G41" t="inlineStr">
        <is>
          <t>SKARA</t>
        </is>
      </c>
      <c r="I41" t="n">
        <v>1.1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t="n">
        <v>0</v>
      </c>
      <c r="S41" t="n">
        <v>0</v>
      </c>
      <c r="T41" t="n">
        <v>0</v>
      </c>
      <c r="U41" t="n">
        <v>0</v>
      </c>
      <c r="V41" s="2" t="inlineStr"/>
    </row>
    <row r="42" ht="15" customHeight="1">
      <c r="A42" t="inlineStr">
        <is>
          <t>A 57258-2022</t>
        </is>
      </c>
      <c r="B42" t="inlineStr">
        <is>
          <t>avverkningsanmälan</t>
        </is>
      </c>
      <c r="C42" t="inlineStr">
        <is>
          <t>Föryngringsavverkning</t>
        </is>
      </c>
      <c r="D42" s="1" t="n">
        <v>44895</v>
      </c>
      <c r="E42" s="1" t="n">
        <v>46317</v>
      </c>
      <c r="F42" t="inlineStr">
        <is>
          <t>VÄSTRA GÖTALANDS LÄN</t>
        </is>
      </c>
      <c r="G42" t="inlineStr">
        <is>
          <t>SKARA</t>
        </is>
      </c>
      <c r="I42" t="n">
        <v>4.3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t="n">
        <v>0</v>
      </c>
      <c r="S42" t="n">
        <v>0</v>
      </c>
      <c r="T42" t="n">
        <v>0</v>
      </c>
      <c r="U42" t="n">
        <v>0</v>
      </c>
      <c r="V42" s="2" t="inlineStr"/>
    </row>
    <row r="43" ht="15" customHeight="1">
      <c r="A43" t="inlineStr">
        <is>
          <t>A 62779-2025</t>
        </is>
      </c>
      <c r="B43" t="inlineStr">
        <is>
          <t>avverkningsanmälan</t>
        </is>
      </c>
      <c r="C43" t="inlineStr">
        <is>
          <t>Föryngringsavverkning</t>
        </is>
      </c>
      <c r="D43" s="1" t="n">
        <v>46008</v>
      </c>
      <c r="E43" s="1" t="n">
        <v>46317</v>
      </c>
      <c r="F43" t="inlineStr">
        <is>
          <t>VÄSTRA GÖTALANDS LÄN</t>
        </is>
      </c>
      <c r="G43" t="inlineStr">
        <is>
          <t>SKARA</t>
        </is>
      </c>
      <c r="H43" t="inlineStr">
        <is>
          <t>Kyrkan</t>
        </is>
      </c>
      <c r="I43" t="n">
        <v>2.7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t="n">
        <v>0</v>
      </c>
      <c r="S43" t="n">
        <v>0</v>
      </c>
      <c r="T43" t="n">
        <v>0</v>
      </c>
      <c r="U43" t="n">
        <v>0</v>
      </c>
      <c r="V43" s="2" t="inlineStr"/>
    </row>
    <row r="44" ht="15" customHeight="1">
      <c r="A44" t="inlineStr">
        <is>
          <t>A 65124-2023</t>
        </is>
      </c>
      <c r="B44" t="inlineStr">
        <is>
          <t>avverkningsanmälan</t>
        </is>
      </c>
      <c r="C44" t="inlineStr">
        <is>
          <t>Föryngringsavverkning</t>
        </is>
      </c>
      <c r="D44" s="1" t="n">
        <v>45288</v>
      </c>
      <c r="E44" s="1" t="n">
        <v>46317</v>
      </c>
      <c r="F44" t="inlineStr">
        <is>
          <t>VÄSTRA GÖTALANDS LÄN</t>
        </is>
      </c>
      <c r="G44" t="inlineStr">
        <is>
          <t>SKARA</t>
        </is>
      </c>
      <c r="I44" t="n">
        <v>3.2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t="n">
        <v>0</v>
      </c>
      <c r="S44" t="n">
        <v>0</v>
      </c>
      <c r="T44" t="n">
        <v>0</v>
      </c>
      <c r="U44" t="n">
        <v>0</v>
      </c>
      <c r="V44" s="2" t="inlineStr"/>
    </row>
    <row r="45" ht="15" customHeight="1">
      <c r="A45" t="inlineStr">
        <is>
          <t>A 60654-2021</t>
        </is>
      </c>
      <c r="B45" t="inlineStr">
        <is>
          <t>avverkningsanmälan</t>
        </is>
      </c>
      <c r="C45" t="inlineStr">
        <is>
          <t>Föryngringsavverkning</t>
        </is>
      </c>
      <c r="D45" s="1" t="n">
        <v>44496</v>
      </c>
      <c r="E45" s="1" t="n">
        <v>46317</v>
      </c>
      <c r="F45" t="inlineStr">
        <is>
          <t>VÄSTRA GÖTALANDS LÄN</t>
        </is>
      </c>
      <c r="G45" t="inlineStr">
        <is>
          <t>SKARA</t>
        </is>
      </c>
      <c r="I45" t="n">
        <v>0.6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t="n">
        <v>0</v>
      </c>
      <c r="S45" t="n">
        <v>0</v>
      </c>
      <c r="T45" t="n">
        <v>0</v>
      </c>
      <c r="U45" t="n">
        <v>0</v>
      </c>
      <c r="V45" s="2" t="inlineStr"/>
    </row>
    <row r="46" ht="15" customHeight="1">
      <c r="A46" t="inlineStr">
        <is>
          <t>A 26567-2024</t>
        </is>
      </c>
      <c r="B46" t="inlineStr">
        <is>
          <t>avverkningsanmälan</t>
        </is>
      </c>
      <c r="C46" t="inlineStr">
        <is>
          <t>Föryngringsavverkning</t>
        </is>
      </c>
      <c r="D46" s="1" t="n">
        <v>45469</v>
      </c>
      <c r="E46" s="1" t="n">
        <v>46317</v>
      </c>
      <c r="F46" t="inlineStr">
        <is>
          <t>VÄSTRA GÖTALANDS LÄN</t>
        </is>
      </c>
      <c r="G46" t="inlineStr">
        <is>
          <t>SKARA</t>
        </is>
      </c>
      <c r="I46" t="n">
        <v>3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t="n">
        <v>0</v>
      </c>
      <c r="S46" t="n">
        <v>0</v>
      </c>
      <c r="T46" t="n">
        <v>0</v>
      </c>
      <c r="U46" t="n">
        <v>0</v>
      </c>
      <c r="V46" s="2" t="inlineStr"/>
    </row>
    <row r="47" ht="15" customHeight="1">
      <c r="A47" t="inlineStr">
        <is>
          <t>A 29255-2025</t>
        </is>
      </c>
      <c r="B47" t="inlineStr">
        <is>
          <t>avverkningsanmälan</t>
        </is>
      </c>
      <c r="C47" t="inlineStr">
        <is>
          <t>Föryngringsavverkning</t>
        </is>
      </c>
      <c r="D47" s="1" t="n">
        <v>45824</v>
      </c>
      <c r="E47" s="1" t="n">
        <v>46317</v>
      </c>
      <c r="F47" t="inlineStr">
        <is>
          <t>VÄSTRA GÖTALANDS LÄN</t>
        </is>
      </c>
      <c r="G47" t="inlineStr">
        <is>
          <t>SKARA</t>
        </is>
      </c>
      <c r="I47" t="n">
        <v>1.7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t="n">
        <v>0</v>
      </c>
      <c r="S47" t="n">
        <v>0</v>
      </c>
      <c r="T47" t="n">
        <v>0</v>
      </c>
      <c r="U47" t="n">
        <v>0</v>
      </c>
      <c r="V47" s="2" t="inlineStr"/>
    </row>
    <row r="48" ht="15" customHeight="1">
      <c r="A48" t="inlineStr">
        <is>
          <t>A 57238-2022</t>
        </is>
      </c>
      <c r="B48" t="inlineStr">
        <is>
          <t>avverkningsanmälan</t>
        </is>
      </c>
      <c r="C48" t="inlineStr">
        <is>
          <t>Föryngringsavverkning</t>
        </is>
      </c>
      <c r="D48" s="1" t="n">
        <v>44895</v>
      </c>
      <c r="E48" s="1" t="n">
        <v>46317</v>
      </c>
      <c r="F48" t="inlineStr">
        <is>
          <t>VÄSTRA GÖTALANDS LÄN</t>
        </is>
      </c>
      <c r="G48" t="inlineStr">
        <is>
          <t>SKARA</t>
        </is>
      </c>
      <c r="I48" t="n">
        <v>0.9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t="n">
        <v>0</v>
      </c>
      <c r="S48" t="n">
        <v>0</v>
      </c>
      <c r="T48" t="n">
        <v>0</v>
      </c>
      <c r="U48" t="n">
        <v>0</v>
      </c>
      <c r="V48" s="2" t="inlineStr"/>
    </row>
    <row r="49" ht="15" customHeight="1">
      <c r="A49" t="inlineStr">
        <is>
          <t>A 37032-2025</t>
        </is>
      </c>
      <c r="B49" t="inlineStr">
        <is>
          <t>avverkningsanmälan</t>
        </is>
      </c>
      <c r="C49" t="inlineStr">
        <is>
          <t>Föryngringsavverkning</t>
        </is>
      </c>
      <c r="D49" s="1" t="n">
        <v>45874</v>
      </c>
      <c r="E49" s="1" t="n">
        <v>46317</v>
      </c>
      <c r="F49" t="inlineStr">
        <is>
          <t>VÄSTRA GÖTALANDS LÄN</t>
        </is>
      </c>
      <c r="G49" t="inlineStr">
        <is>
          <t>SKARA</t>
        </is>
      </c>
      <c r="I49" t="n">
        <v>5.9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t="n">
        <v>0</v>
      </c>
      <c r="S49" t="n">
        <v>0</v>
      </c>
      <c r="T49" t="n">
        <v>0</v>
      </c>
      <c r="U49" t="n">
        <v>0</v>
      </c>
      <c r="V49" s="2" t="inlineStr"/>
    </row>
    <row r="50" ht="15" customHeight="1">
      <c r="A50" t="inlineStr">
        <is>
          <t>A 39494-2025</t>
        </is>
      </c>
      <c r="B50" t="inlineStr">
        <is>
          <t>avverkningsanmälan</t>
        </is>
      </c>
      <c r="C50" t="inlineStr">
        <is>
          <t>Föryngringsavverkning</t>
        </is>
      </c>
      <c r="D50" s="1" t="n">
        <v>45890</v>
      </c>
      <c r="E50" s="1" t="n">
        <v>46317</v>
      </c>
      <c r="F50" t="inlineStr">
        <is>
          <t>VÄSTRA GÖTALANDS LÄN</t>
        </is>
      </c>
      <c r="G50" t="inlineStr">
        <is>
          <t>SKARA</t>
        </is>
      </c>
      <c r="H50" t="inlineStr">
        <is>
          <t>Sveaskog</t>
        </is>
      </c>
      <c r="I50" t="n">
        <v>3.7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t="n">
        <v>0</v>
      </c>
      <c r="S50" t="n">
        <v>0</v>
      </c>
      <c r="T50" t="n">
        <v>0</v>
      </c>
      <c r="U50" t="n">
        <v>0</v>
      </c>
      <c r="V50" s="2" t="inlineStr"/>
    </row>
    <row r="51" ht="15" customHeight="1">
      <c r="A51" t="inlineStr">
        <is>
          <t>A 39365-2025</t>
        </is>
      </c>
      <c r="B51" t="inlineStr">
        <is>
          <t>avverkningsanmälan</t>
        </is>
      </c>
      <c r="C51" t="inlineStr">
        <is>
          <t>Föryngringsavverkning</t>
        </is>
      </c>
      <c r="D51" s="1" t="n">
        <v>45889</v>
      </c>
      <c r="E51" s="1" t="n">
        <v>46317</v>
      </c>
      <c r="F51" t="inlineStr">
        <is>
          <t>VÄSTRA GÖTALANDS LÄN</t>
        </is>
      </c>
      <c r="G51" t="inlineStr">
        <is>
          <t>SKARA</t>
        </is>
      </c>
      <c r="H51" t="inlineStr">
        <is>
          <t>Sveaskog</t>
        </is>
      </c>
      <c r="I51" t="n">
        <v>3.7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t="n">
        <v>0</v>
      </c>
      <c r="S51" t="n">
        <v>0</v>
      </c>
      <c r="T51" t="n">
        <v>0</v>
      </c>
      <c r="U51" t="n">
        <v>0</v>
      </c>
      <c r="V51" s="2" t="inlineStr"/>
    </row>
    <row r="52" ht="15" customHeight="1">
      <c r="A52" t="inlineStr">
        <is>
          <t>A 39367-2025</t>
        </is>
      </c>
      <c r="B52" t="inlineStr">
        <is>
          <t>avverkningsanmälan</t>
        </is>
      </c>
      <c r="C52" t="inlineStr">
        <is>
          <t>Föryngringsavverkning</t>
        </is>
      </c>
      <c r="D52" s="1" t="n">
        <v>45889</v>
      </c>
      <c r="E52" s="1" t="n">
        <v>46317</v>
      </c>
      <c r="F52" t="inlineStr">
        <is>
          <t>VÄSTRA GÖTALANDS LÄN</t>
        </is>
      </c>
      <c r="G52" t="inlineStr">
        <is>
          <t>SKARA</t>
        </is>
      </c>
      <c r="H52" t="inlineStr">
        <is>
          <t>Sveaskog</t>
        </is>
      </c>
      <c r="I52" t="n">
        <v>2.4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t="n">
        <v>0</v>
      </c>
      <c r="S52" t="n">
        <v>0</v>
      </c>
      <c r="T52" t="n">
        <v>0</v>
      </c>
      <c r="U52" t="n">
        <v>0</v>
      </c>
      <c r="V52" s="2" t="inlineStr"/>
    </row>
    <row r="53" ht="15" customHeight="1">
      <c r="A53" t="inlineStr">
        <is>
          <t>A 39492-2025</t>
        </is>
      </c>
      <c r="B53" t="inlineStr">
        <is>
          <t>avverkningsanmälan</t>
        </is>
      </c>
      <c r="C53" t="inlineStr">
        <is>
          <t>Föryngringsavverkning</t>
        </is>
      </c>
      <c r="D53" s="1" t="n">
        <v>45890</v>
      </c>
      <c r="E53" s="1" t="n">
        <v>46317</v>
      </c>
      <c r="F53" t="inlineStr">
        <is>
          <t>VÄSTRA GÖTALANDS LÄN</t>
        </is>
      </c>
      <c r="G53" t="inlineStr">
        <is>
          <t>SKARA</t>
        </is>
      </c>
      <c r="H53" t="inlineStr">
        <is>
          <t>Sveaskog</t>
        </is>
      </c>
      <c r="I53" t="n">
        <v>2.4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t="n">
        <v>0</v>
      </c>
      <c r="S53" t="n">
        <v>0</v>
      </c>
      <c r="T53" t="n">
        <v>0</v>
      </c>
      <c r="U53" t="n">
        <v>0</v>
      </c>
      <c r="V53" s="2" t="inlineStr"/>
    </row>
    <row r="54" ht="15" customHeight="1">
      <c r="A54" t="inlineStr">
        <is>
          <t>A 25219-2025</t>
        </is>
      </c>
      <c r="B54" t="inlineStr">
        <is>
          <t>avverkningsanmälan</t>
        </is>
      </c>
      <c r="C54" t="inlineStr">
        <is>
          <t>Avverkning för annat ändamål</t>
        </is>
      </c>
      <c r="D54" s="1" t="n">
        <v>45800</v>
      </c>
      <c r="E54" s="1" t="n">
        <v>46317</v>
      </c>
      <c r="F54" t="inlineStr">
        <is>
          <t>VÄSTRA GÖTALANDS LÄN</t>
        </is>
      </c>
      <c r="G54" t="inlineStr">
        <is>
          <t>SKARA</t>
        </is>
      </c>
      <c r="I54" t="n">
        <v>0.7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t="n">
        <v>0</v>
      </c>
      <c r="S54" t="n">
        <v>0</v>
      </c>
      <c r="T54" t="n">
        <v>0</v>
      </c>
      <c r="U54" t="n">
        <v>0</v>
      </c>
      <c r="V54" s="2" t="inlineStr"/>
    </row>
    <row r="55" ht="15" customHeight="1">
      <c r="A55" t="inlineStr">
        <is>
          <t>A 26575-2024</t>
        </is>
      </c>
      <c r="B55" t="inlineStr">
        <is>
          <t>avverkningsanmälan</t>
        </is>
      </c>
      <c r="C55" t="inlineStr">
        <is>
          <t>Föryngringsavverkning</t>
        </is>
      </c>
      <c r="D55" s="1" t="n">
        <v>45469</v>
      </c>
      <c r="E55" s="1" t="n">
        <v>46317</v>
      </c>
      <c r="F55" t="inlineStr">
        <is>
          <t>VÄSTRA GÖTALANDS LÄN</t>
        </is>
      </c>
      <c r="G55" t="inlineStr">
        <is>
          <t>SKARA</t>
        </is>
      </c>
      <c r="I55" t="n">
        <v>2.7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t="n">
        <v>0</v>
      </c>
      <c r="S55" t="n">
        <v>0</v>
      </c>
      <c r="T55" t="n">
        <v>0</v>
      </c>
      <c r="U55" t="n">
        <v>0</v>
      </c>
      <c r="V55" s="2" t="inlineStr"/>
    </row>
    <row r="56" ht="15" customHeight="1">
      <c r="A56" t="inlineStr">
        <is>
          <t>A 28041-2025</t>
        </is>
      </c>
      <c r="B56" t="inlineStr">
        <is>
          <t>avverkningsanmälan</t>
        </is>
      </c>
      <c r="C56" t="inlineStr">
        <is>
          <t>Föryngringsavverkning</t>
        </is>
      </c>
      <c r="D56" s="1" t="n">
        <v>45817</v>
      </c>
      <c r="E56" s="1" t="n">
        <v>46317</v>
      </c>
      <c r="F56" t="inlineStr">
        <is>
          <t>VÄSTRA GÖTALANDS LÄN</t>
        </is>
      </c>
      <c r="G56" t="inlineStr">
        <is>
          <t>SKARA</t>
        </is>
      </c>
      <c r="I56" t="n">
        <v>0.9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t="n">
        <v>0</v>
      </c>
      <c r="S56" t="n">
        <v>0</v>
      </c>
      <c r="T56" t="n">
        <v>0</v>
      </c>
      <c r="U56" t="n">
        <v>0</v>
      </c>
      <c r="V56" s="2" t="inlineStr"/>
    </row>
    <row r="57" ht="15" customHeight="1">
      <c r="A57" t="inlineStr">
        <is>
          <t>A 3144-2023</t>
        </is>
      </c>
      <c r="B57" t="inlineStr">
        <is>
          <t>avverkningsanmälan</t>
        </is>
      </c>
      <c r="C57" t="inlineStr">
        <is>
          <t>Avverkning för annat ändamål</t>
        </is>
      </c>
      <c r="D57" s="1" t="n">
        <v>44946</v>
      </c>
      <c r="E57" s="1" t="n">
        <v>46317</v>
      </c>
      <c r="F57" t="inlineStr">
        <is>
          <t>VÄSTRA GÖTALANDS LÄN</t>
        </is>
      </c>
      <c r="G57" t="inlineStr">
        <is>
          <t>SKARA</t>
        </is>
      </c>
      <c r="I57" t="n">
        <v>7.3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t="n">
        <v>0</v>
      </c>
      <c r="S57" t="n">
        <v>0</v>
      </c>
      <c r="T57" t="n">
        <v>0</v>
      </c>
      <c r="U57" t="n">
        <v>0</v>
      </c>
      <c r="V57" s="2" t="inlineStr"/>
    </row>
    <row r="58" ht="15" customHeight="1">
      <c r="A58" t="inlineStr">
        <is>
          <t>A 28738-2025</t>
        </is>
      </c>
      <c r="B58" t="inlineStr">
        <is>
          <t>avverkningsanmälan</t>
        </is>
      </c>
      <c r="C58" t="inlineStr">
        <is>
          <t>Föryngringsavverkning</t>
        </is>
      </c>
      <c r="D58" s="1" t="n">
        <v>45820</v>
      </c>
      <c r="E58" s="1" t="n">
        <v>46317</v>
      </c>
      <c r="F58" t="inlineStr">
        <is>
          <t>VÄSTRA GÖTALANDS LÄN</t>
        </is>
      </c>
      <c r="G58" t="inlineStr">
        <is>
          <t>SKARA</t>
        </is>
      </c>
      <c r="H58" t="inlineStr">
        <is>
          <t>Sveaskog</t>
        </is>
      </c>
      <c r="I58" t="n">
        <v>2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t="n">
        <v>0</v>
      </c>
      <c r="S58" t="n">
        <v>0</v>
      </c>
      <c r="T58" t="n">
        <v>0</v>
      </c>
      <c r="U58" t="n">
        <v>0</v>
      </c>
      <c r="V58" s="2" t="inlineStr"/>
    </row>
    <row r="59" ht="15" customHeight="1">
      <c r="A59" t="inlineStr">
        <is>
          <t>A 25176-2023</t>
        </is>
      </c>
      <c r="B59" t="inlineStr">
        <is>
          <t>avverkningsanmälan</t>
        </is>
      </c>
      <c r="C59" t="inlineStr">
        <is>
          <t>Föryngringsavverkning</t>
        </is>
      </c>
      <c r="D59" s="1" t="n">
        <v>45086</v>
      </c>
      <c r="E59" s="1" t="n">
        <v>46317</v>
      </c>
      <c r="F59" t="inlineStr">
        <is>
          <t>VÄSTRA GÖTALANDS LÄN</t>
        </is>
      </c>
      <c r="G59" t="inlineStr">
        <is>
          <t>SKARA</t>
        </is>
      </c>
      <c r="I59" t="n">
        <v>1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t="n">
        <v>0</v>
      </c>
      <c r="S59" t="n">
        <v>0</v>
      </c>
      <c r="T59" t="n">
        <v>0</v>
      </c>
      <c r="U59" t="n">
        <v>0</v>
      </c>
      <c r="V59" s="2" t="inlineStr"/>
    </row>
    <row r="60" ht="15" customHeight="1">
      <c r="A60" t="inlineStr">
        <is>
          <t>A 44819-2025</t>
        </is>
      </c>
      <c r="B60" t="inlineStr">
        <is>
          <t>avverkningsanmälan</t>
        </is>
      </c>
      <c r="C60" t="inlineStr">
        <is>
          <t>Föryngringsavverkning</t>
        </is>
      </c>
      <c r="D60" s="1" t="n">
        <v>45918</v>
      </c>
      <c r="E60" s="1" t="n">
        <v>46317</v>
      </c>
      <c r="F60" t="inlineStr">
        <is>
          <t>VÄSTRA GÖTALANDS LÄN</t>
        </is>
      </c>
      <c r="G60" t="inlineStr">
        <is>
          <t>SKARA</t>
        </is>
      </c>
      <c r="H60" t="inlineStr">
        <is>
          <t>Sveaskog</t>
        </is>
      </c>
      <c r="I60" t="n">
        <v>0.7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t="n">
        <v>0</v>
      </c>
      <c r="S60" t="n">
        <v>0</v>
      </c>
      <c r="T60" t="n">
        <v>0</v>
      </c>
      <c r="U60" t="n">
        <v>0</v>
      </c>
      <c r="V60" s="2" t="inlineStr"/>
    </row>
    <row r="61" ht="15" customHeight="1">
      <c r="A61" t="inlineStr">
        <is>
          <t>A 46155-2025</t>
        </is>
      </c>
      <c r="B61" t="inlineStr">
        <is>
          <t>avverkningsanmälan</t>
        </is>
      </c>
      <c r="C61" t="inlineStr">
        <is>
          <t>Föryngringsavverkning</t>
        </is>
      </c>
      <c r="D61" s="1" t="n">
        <v>45924</v>
      </c>
      <c r="E61" s="1" t="n">
        <v>46317</v>
      </c>
      <c r="F61" t="inlineStr">
        <is>
          <t>VÄSTRA GÖTALANDS LÄN</t>
        </is>
      </c>
      <c r="G61" t="inlineStr">
        <is>
          <t>SKARA</t>
        </is>
      </c>
      <c r="H61" t="inlineStr">
        <is>
          <t>Kyrkan</t>
        </is>
      </c>
      <c r="I61" t="n">
        <v>0.5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t="n">
        <v>0</v>
      </c>
      <c r="S61" t="n">
        <v>0</v>
      </c>
      <c r="T61" t="n">
        <v>0</v>
      </c>
      <c r="U61" t="n">
        <v>0</v>
      </c>
      <c r="V61" s="2" t="inlineStr"/>
    </row>
    <row r="62" ht="15" customHeight="1">
      <c r="A62" t="inlineStr">
        <is>
          <t>A 46203-2025</t>
        </is>
      </c>
      <c r="B62" t="inlineStr">
        <is>
          <t>avverkningsanmälan</t>
        </is>
      </c>
      <c r="C62" t="inlineStr">
        <is>
          <t>Föryngringsavverkning</t>
        </is>
      </c>
      <c r="D62" s="1" t="n">
        <v>45924</v>
      </c>
      <c r="E62" s="1" t="n">
        <v>46317</v>
      </c>
      <c r="F62" t="inlineStr">
        <is>
          <t>VÄSTRA GÖTALANDS LÄN</t>
        </is>
      </c>
      <c r="G62" t="inlineStr">
        <is>
          <t>SKARA</t>
        </is>
      </c>
      <c r="H62" t="inlineStr">
        <is>
          <t>Kyrkan</t>
        </is>
      </c>
      <c r="I62" t="n">
        <v>2.8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t="n">
        <v>0</v>
      </c>
      <c r="S62" t="n">
        <v>0</v>
      </c>
      <c r="T62" t="n">
        <v>0</v>
      </c>
      <c r="U62" t="n">
        <v>0</v>
      </c>
      <c r="V62" s="2" t="inlineStr"/>
    </row>
    <row r="63" ht="15" customHeight="1">
      <c r="A63" t="inlineStr">
        <is>
          <t>A 46211-2025</t>
        </is>
      </c>
      <c r="B63" t="inlineStr">
        <is>
          <t>avverkningsanmälan</t>
        </is>
      </c>
      <c r="C63" t="inlineStr">
        <is>
          <t>Föryngringsavverkning</t>
        </is>
      </c>
      <c r="D63" s="1" t="n">
        <v>45924</v>
      </c>
      <c r="E63" s="1" t="n">
        <v>46317</v>
      </c>
      <c r="F63" t="inlineStr">
        <is>
          <t>VÄSTRA GÖTALANDS LÄN</t>
        </is>
      </c>
      <c r="G63" t="inlineStr">
        <is>
          <t>SKARA</t>
        </is>
      </c>
      <c r="H63" t="inlineStr">
        <is>
          <t>Kyrkan</t>
        </is>
      </c>
      <c r="I63" t="n">
        <v>1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t="n">
        <v>0</v>
      </c>
      <c r="S63" t="n">
        <v>0</v>
      </c>
      <c r="T63" t="n">
        <v>0</v>
      </c>
      <c r="U63" t="n">
        <v>0</v>
      </c>
      <c r="V63" s="2" t="inlineStr"/>
    </row>
    <row r="64" ht="15" customHeight="1">
      <c r="A64" t="inlineStr">
        <is>
          <t>A 46183-2025</t>
        </is>
      </c>
      <c r="B64" t="inlineStr">
        <is>
          <t>avverkningsanmälan</t>
        </is>
      </c>
      <c r="C64" t="inlineStr">
        <is>
          <t>Föryngringsavverkning</t>
        </is>
      </c>
      <c r="D64" s="1" t="n">
        <v>45924</v>
      </c>
      <c r="E64" s="1" t="n">
        <v>46317</v>
      </c>
      <c r="F64" t="inlineStr">
        <is>
          <t>VÄSTRA GÖTALANDS LÄN</t>
        </is>
      </c>
      <c r="G64" t="inlineStr">
        <is>
          <t>SKARA</t>
        </is>
      </c>
      <c r="H64" t="inlineStr">
        <is>
          <t>Kyrkan</t>
        </is>
      </c>
      <c r="I64" t="n">
        <v>1.8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t="n">
        <v>0</v>
      </c>
      <c r="S64" t="n">
        <v>0</v>
      </c>
      <c r="T64" t="n">
        <v>0</v>
      </c>
      <c r="U64" t="n">
        <v>0</v>
      </c>
      <c r="V64" s="2" t="inlineStr"/>
    </row>
    <row r="65" ht="15" customHeight="1">
      <c r="A65" t="inlineStr">
        <is>
          <t>A 3822-2022</t>
        </is>
      </c>
      <c r="B65" t="inlineStr">
        <is>
          <t>avverkningsanmälan</t>
        </is>
      </c>
      <c r="C65" t="inlineStr">
        <is>
          <t>Föryngringsavverkning</t>
        </is>
      </c>
      <c r="D65" s="1" t="n">
        <v>44587</v>
      </c>
      <c r="E65" s="1" t="n">
        <v>46317</v>
      </c>
      <c r="F65" t="inlineStr">
        <is>
          <t>VÄSTRA GÖTALANDS LÄN</t>
        </is>
      </c>
      <c r="G65" t="inlineStr">
        <is>
          <t>SKARA</t>
        </is>
      </c>
      <c r="H65" t="inlineStr">
        <is>
          <t>Sveaskog</t>
        </is>
      </c>
      <c r="I65" t="n">
        <v>0.6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t="n">
        <v>0</v>
      </c>
      <c r="S65" t="n">
        <v>0</v>
      </c>
      <c r="T65" t="n">
        <v>0</v>
      </c>
      <c r="U65" t="n">
        <v>0</v>
      </c>
      <c r="V65" s="2" t="inlineStr"/>
    </row>
    <row r="66" ht="15" customHeight="1">
      <c r="A66" t="inlineStr">
        <is>
          <t>A 47010-2025</t>
        </is>
      </c>
      <c r="B66" t="inlineStr">
        <is>
          <t>avverkningsanmälan</t>
        </is>
      </c>
      <c r="C66" t="inlineStr">
        <is>
          <t>Föryngringsavverkning</t>
        </is>
      </c>
      <c r="D66" s="1" t="n">
        <v>45929</v>
      </c>
      <c r="E66" s="1" t="n">
        <v>46317</v>
      </c>
      <c r="F66" t="inlineStr">
        <is>
          <t>VÄSTRA GÖTALANDS LÄN</t>
        </is>
      </c>
      <c r="G66" t="inlineStr">
        <is>
          <t>SKARA</t>
        </is>
      </c>
      <c r="I66" t="n">
        <v>2.5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t="n">
        <v>0</v>
      </c>
      <c r="S66" t="n">
        <v>0</v>
      </c>
      <c r="T66" t="n">
        <v>0</v>
      </c>
      <c r="U66" t="n">
        <v>0</v>
      </c>
      <c r="V66" s="2" t="inlineStr"/>
    </row>
    <row r="67" ht="15" customHeight="1">
      <c r="A67" t="inlineStr">
        <is>
          <t>A 32844-2025</t>
        </is>
      </c>
      <c r="B67" t="inlineStr">
        <is>
          <t>avverkningsanmälan</t>
        </is>
      </c>
      <c r="C67" t="inlineStr">
        <is>
          <t>Föryngringsavverkning</t>
        </is>
      </c>
      <c r="D67" s="1" t="n">
        <v>45839</v>
      </c>
      <c r="E67" s="1" t="n">
        <v>46317</v>
      </c>
      <c r="F67" t="inlineStr">
        <is>
          <t>VÄSTRA GÖTALANDS LÄN</t>
        </is>
      </c>
      <c r="G67" t="inlineStr">
        <is>
          <t>SKARA</t>
        </is>
      </c>
      <c r="I67" t="n">
        <v>1.6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t="n">
        <v>0</v>
      </c>
      <c r="S67" t="n">
        <v>0</v>
      </c>
      <c r="T67" t="n">
        <v>0</v>
      </c>
      <c r="U67" t="n">
        <v>0</v>
      </c>
      <c r="V67" s="2" t="inlineStr"/>
    </row>
    <row r="68" ht="15" customHeight="1">
      <c r="A68" t="inlineStr">
        <is>
          <t>A 32850-2025</t>
        </is>
      </c>
      <c r="B68" t="inlineStr">
        <is>
          <t>avverkningsanmälan</t>
        </is>
      </c>
      <c r="C68" t="inlineStr">
        <is>
          <t>Föryngringsavverkning</t>
        </is>
      </c>
      <c r="D68" s="1" t="n">
        <v>45839</v>
      </c>
      <c r="E68" s="1" t="n">
        <v>46317</v>
      </c>
      <c r="F68" t="inlineStr">
        <is>
          <t>VÄSTRA GÖTALANDS LÄN</t>
        </is>
      </c>
      <c r="G68" t="inlineStr">
        <is>
          <t>SKARA</t>
        </is>
      </c>
      <c r="I68" t="n">
        <v>0.8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t="n">
        <v>0</v>
      </c>
      <c r="S68" t="n">
        <v>0</v>
      </c>
      <c r="T68" t="n">
        <v>0</v>
      </c>
      <c r="U68" t="n">
        <v>0</v>
      </c>
      <c r="V68" s="2" t="inlineStr"/>
    </row>
    <row r="69" ht="15" customHeight="1">
      <c r="A69" t="inlineStr">
        <is>
          <t>A 4306-2023</t>
        </is>
      </c>
      <c r="B69" t="inlineStr">
        <is>
          <t>avverkningsanmälan</t>
        </is>
      </c>
      <c r="C69" t="inlineStr">
        <is>
          <t>Föryngringsavverkning</t>
        </is>
      </c>
      <c r="D69" s="1" t="n">
        <v>44953</v>
      </c>
      <c r="E69" s="1" t="n">
        <v>46317</v>
      </c>
      <c r="F69" t="inlineStr">
        <is>
          <t>VÄSTRA GÖTALANDS LÄN</t>
        </is>
      </c>
      <c r="G69" t="inlineStr">
        <is>
          <t>SKARA</t>
        </is>
      </c>
      <c r="I69" t="n">
        <v>3.7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t="n">
        <v>0</v>
      </c>
      <c r="S69" t="n">
        <v>0</v>
      </c>
      <c r="T69" t="n">
        <v>0</v>
      </c>
      <c r="U69" t="n">
        <v>0</v>
      </c>
      <c r="V69" s="2" t="inlineStr"/>
    </row>
    <row r="70" ht="15" customHeight="1">
      <c r="A70" t="inlineStr">
        <is>
          <t>A 33095-2025</t>
        </is>
      </c>
      <c r="B70" t="inlineStr">
        <is>
          <t>avverkningsanmälan</t>
        </is>
      </c>
      <c r="C70" t="inlineStr">
        <is>
          <t>Föryngringsavverkning</t>
        </is>
      </c>
      <c r="D70" s="1" t="n">
        <v>45840</v>
      </c>
      <c r="E70" s="1" t="n">
        <v>46317</v>
      </c>
      <c r="F70" t="inlineStr">
        <is>
          <t>VÄSTRA GÖTALANDS LÄN</t>
        </is>
      </c>
      <c r="G70" t="inlineStr">
        <is>
          <t>SKARA</t>
        </is>
      </c>
      <c r="I70" t="n">
        <v>0.6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t="n">
        <v>0</v>
      </c>
      <c r="S70" t="n">
        <v>0</v>
      </c>
      <c r="T70" t="n">
        <v>0</v>
      </c>
      <c r="U70" t="n">
        <v>0</v>
      </c>
      <c r="V70" s="2" t="inlineStr"/>
    </row>
    <row r="71" ht="15" customHeight="1">
      <c r="A71" t="inlineStr">
        <is>
          <t>A 1566-2023</t>
        </is>
      </c>
      <c r="B71" t="inlineStr">
        <is>
          <t>avverkningsanmälan</t>
        </is>
      </c>
      <c r="C71" t="inlineStr">
        <is>
          <t>Föryngringsavverkning</t>
        </is>
      </c>
      <c r="D71" s="1" t="n">
        <v>44937</v>
      </c>
      <c r="E71" s="1" t="n">
        <v>46317</v>
      </c>
      <c r="F71" t="inlineStr">
        <is>
          <t>VÄSTRA GÖTALANDS LÄN</t>
        </is>
      </c>
      <c r="G71" t="inlineStr">
        <is>
          <t>SKARA</t>
        </is>
      </c>
      <c r="I71" t="n">
        <v>1.1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t="n">
        <v>0</v>
      </c>
      <c r="S71" t="n">
        <v>0</v>
      </c>
      <c r="T71" t="n">
        <v>0</v>
      </c>
      <c r="U71" t="n">
        <v>0</v>
      </c>
      <c r="V71" s="2" t="inlineStr"/>
    </row>
    <row r="72" ht="15" customHeight="1">
      <c r="A72" t="inlineStr">
        <is>
          <t>A 48088-2025</t>
        </is>
      </c>
      <c r="B72" t="inlineStr">
        <is>
          <t>avverkningsanmälan</t>
        </is>
      </c>
      <c r="C72" t="inlineStr">
        <is>
          <t>Föryngringsavverkning</t>
        </is>
      </c>
      <c r="D72" s="1" t="n">
        <v>45932</v>
      </c>
      <c r="E72" s="1" t="n">
        <v>46317</v>
      </c>
      <c r="F72" t="inlineStr">
        <is>
          <t>VÄSTRA GÖTALANDS LÄN</t>
        </is>
      </c>
      <c r="G72" t="inlineStr">
        <is>
          <t>SKARA</t>
        </is>
      </c>
      <c r="I72" t="n">
        <v>0.7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t="n">
        <v>0</v>
      </c>
      <c r="S72" t="n">
        <v>0</v>
      </c>
      <c r="T72" t="n">
        <v>0</v>
      </c>
      <c r="U72" t="n">
        <v>0</v>
      </c>
      <c r="V72" s="2" t="inlineStr"/>
    </row>
    <row r="73" ht="15" customHeight="1">
      <c r="A73" t="inlineStr">
        <is>
          <t>A 16510-2024</t>
        </is>
      </c>
      <c r="B73" t="inlineStr">
        <is>
          <t>avverkningsanmälan</t>
        </is>
      </c>
      <c r="C73" t="inlineStr">
        <is>
          <t>Föryngringsavverkning</t>
        </is>
      </c>
      <c r="D73" s="1" t="n">
        <v>45408</v>
      </c>
      <c r="E73" s="1" t="n">
        <v>46317</v>
      </c>
      <c r="F73" t="inlineStr">
        <is>
          <t>VÄSTRA GÖTALANDS LÄN</t>
        </is>
      </c>
      <c r="G73" t="inlineStr">
        <is>
          <t>SKARA</t>
        </is>
      </c>
      <c r="H73" t="inlineStr">
        <is>
          <t>Sveaskog</t>
        </is>
      </c>
      <c r="I73" t="n">
        <v>1.5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t="n">
        <v>0</v>
      </c>
      <c r="S73" t="n">
        <v>0</v>
      </c>
      <c r="T73" t="n">
        <v>0</v>
      </c>
      <c r="U73" t="n">
        <v>0</v>
      </c>
      <c r="V73" s="2" t="inlineStr"/>
    </row>
    <row r="74" ht="15" customHeight="1">
      <c r="A74" t="inlineStr">
        <is>
          <t>A 20721-2025</t>
        </is>
      </c>
      <c r="B74" t="inlineStr">
        <is>
          <t>avverkningsanmälan</t>
        </is>
      </c>
      <c r="C74" t="inlineStr">
        <is>
          <t>Föryngringsavverkning</t>
        </is>
      </c>
      <c r="D74" s="1" t="n">
        <v>45776</v>
      </c>
      <c r="E74" s="1" t="n">
        <v>46317</v>
      </c>
      <c r="F74" t="inlineStr">
        <is>
          <t>VÄSTRA GÖTALANDS LÄN</t>
        </is>
      </c>
      <c r="G74" t="inlineStr">
        <is>
          <t>SKARA</t>
        </is>
      </c>
      <c r="I74" t="n">
        <v>0.9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t="n">
        <v>0</v>
      </c>
      <c r="S74" t="n">
        <v>0</v>
      </c>
      <c r="T74" t="n">
        <v>0</v>
      </c>
      <c r="U74" t="n">
        <v>0</v>
      </c>
      <c r="V74" s="2" t="inlineStr"/>
    </row>
    <row r="75" ht="15" customHeight="1">
      <c r="A75" t="inlineStr">
        <is>
          <t>A 18704-2022</t>
        </is>
      </c>
      <c r="B75" t="inlineStr">
        <is>
          <t>avverkningsanmälan</t>
        </is>
      </c>
      <c r="C75" t="inlineStr">
        <is>
          <t>Föryngringsavverkning</t>
        </is>
      </c>
      <c r="D75" s="1" t="n">
        <v>44687</v>
      </c>
      <c r="E75" s="1" t="n">
        <v>46317</v>
      </c>
      <c r="F75" t="inlineStr">
        <is>
          <t>VÄSTRA GÖTALANDS LÄN</t>
        </is>
      </c>
      <c r="G75" t="inlineStr">
        <is>
          <t>SKARA</t>
        </is>
      </c>
      <c r="H75" t="inlineStr">
        <is>
          <t>Kommuner</t>
        </is>
      </c>
      <c r="I75" t="n">
        <v>3.9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t="n">
        <v>0</v>
      </c>
      <c r="S75" t="n">
        <v>0</v>
      </c>
      <c r="T75" t="n">
        <v>0</v>
      </c>
      <c r="U75" t="n">
        <v>0</v>
      </c>
      <c r="V75" s="2" t="inlineStr"/>
    </row>
    <row r="76" ht="15" customHeight="1">
      <c r="A76" t="inlineStr">
        <is>
          <t>A 60233-2023</t>
        </is>
      </c>
      <c r="B76" t="inlineStr">
        <is>
          <t>avverkningsanmälan</t>
        </is>
      </c>
      <c r="C76" t="inlineStr">
        <is>
          <t>Avverkning för annat ändamål</t>
        </is>
      </c>
      <c r="D76" s="1" t="n">
        <v>45258</v>
      </c>
      <c r="E76" s="1" t="n">
        <v>46317</v>
      </c>
      <c r="F76" t="inlineStr">
        <is>
          <t>VÄSTRA GÖTALANDS LÄN</t>
        </is>
      </c>
      <c r="G76" t="inlineStr">
        <is>
          <t>SKARA</t>
        </is>
      </c>
      <c r="I76" t="n">
        <v>1.5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t="n">
        <v>0</v>
      </c>
      <c r="S76" t="n">
        <v>0</v>
      </c>
      <c r="T76" t="n">
        <v>0</v>
      </c>
      <c r="U76" t="n">
        <v>0</v>
      </c>
      <c r="V76" s="2" t="inlineStr"/>
    </row>
    <row r="77" ht="15" customHeight="1">
      <c r="A77" t="inlineStr">
        <is>
          <t>A 50590-2025</t>
        </is>
      </c>
      <c r="B77" t="inlineStr">
        <is>
          <t>avverkningsanmälan</t>
        </is>
      </c>
      <c r="C77" t="inlineStr">
        <is>
          <t>Föryngringsavverkning</t>
        </is>
      </c>
      <c r="D77" s="1" t="n">
        <v>45945</v>
      </c>
      <c r="E77" s="1" t="n">
        <v>46317</v>
      </c>
      <c r="F77" t="inlineStr">
        <is>
          <t>VÄSTRA GÖTALANDS LÄN</t>
        </is>
      </c>
      <c r="G77" t="inlineStr">
        <is>
          <t>SKARA</t>
        </is>
      </c>
      <c r="H77" t="inlineStr">
        <is>
          <t>Sveaskog</t>
        </is>
      </c>
      <c r="I77" t="n">
        <v>1.9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t="n">
        <v>0</v>
      </c>
      <c r="S77" t="n">
        <v>0</v>
      </c>
      <c r="T77" t="n">
        <v>0</v>
      </c>
      <c r="U77" t="n">
        <v>0</v>
      </c>
      <c r="V77" s="2" t="inlineStr"/>
    </row>
    <row r="78" ht="15" customHeight="1">
      <c r="A78" t="inlineStr">
        <is>
          <t>A 7946-2023</t>
        </is>
      </c>
      <c r="B78" t="inlineStr">
        <is>
          <t>avverkningsanmälan</t>
        </is>
      </c>
      <c r="C78" t="inlineStr">
        <is>
          <t>Föryngringsavverkning</t>
        </is>
      </c>
      <c r="D78" s="1" t="n">
        <v>44973</v>
      </c>
      <c r="E78" s="1" t="n">
        <v>46317</v>
      </c>
      <c r="F78" t="inlineStr">
        <is>
          <t>VÄSTRA GÖTALANDS LÄN</t>
        </is>
      </c>
      <c r="G78" t="inlineStr">
        <is>
          <t>SKARA</t>
        </is>
      </c>
      <c r="I78" t="n">
        <v>6.8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t="n">
        <v>0</v>
      </c>
      <c r="S78" t="n">
        <v>0</v>
      </c>
      <c r="T78" t="n">
        <v>0</v>
      </c>
      <c r="U78" t="n">
        <v>0</v>
      </c>
      <c r="V78" s="2" t="inlineStr"/>
    </row>
    <row r="79" ht="15" customHeight="1">
      <c r="A79" t="inlineStr">
        <is>
          <t>A 18616-2025</t>
        </is>
      </c>
      <c r="B79" t="inlineStr">
        <is>
          <t>avverkningsanmälan</t>
        </is>
      </c>
      <c r="C79" t="inlineStr">
        <is>
          <t>Föryngringsavverkning</t>
        </is>
      </c>
      <c r="D79" s="1" t="n">
        <v>45763</v>
      </c>
      <c r="E79" s="1" t="n">
        <v>46317</v>
      </c>
      <c r="F79" t="inlineStr">
        <is>
          <t>VÄSTRA GÖTALANDS LÄN</t>
        </is>
      </c>
      <c r="G79" t="inlineStr">
        <is>
          <t>SKARA</t>
        </is>
      </c>
      <c r="I79" t="n">
        <v>1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t="n">
        <v>0</v>
      </c>
      <c r="S79" t="n">
        <v>0</v>
      </c>
      <c r="T79" t="n">
        <v>0</v>
      </c>
      <c r="U79" t="n">
        <v>0</v>
      </c>
      <c r="V79" s="2" t="inlineStr"/>
    </row>
    <row r="80" ht="15" customHeight="1">
      <c r="A80" t="inlineStr">
        <is>
          <t>A 40264-2024</t>
        </is>
      </c>
      <c r="B80" t="inlineStr">
        <is>
          <t>avverkningsanmälan</t>
        </is>
      </c>
      <c r="C80" t="inlineStr">
        <is>
          <t>Föryngringsavverkning</t>
        </is>
      </c>
      <c r="D80" s="1" t="n">
        <v>45554</v>
      </c>
      <c r="E80" s="1" t="n">
        <v>46317</v>
      </c>
      <c r="F80" t="inlineStr">
        <is>
          <t>VÄSTRA GÖTALANDS LÄN</t>
        </is>
      </c>
      <c r="G80" t="inlineStr">
        <is>
          <t>SKARA</t>
        </is>
      </c>
      <c r="I80" t="n">
        <v>2.8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t="n">
        <v>0</v>
      </c>
      <c r="S80" t="n">
        <v>0</v>
      </c>
      <c r="T80" t="n">
        <v>0</v>
      </c>
      <c r="U80" t="n">
        <v>0</v>
      </c>
      <c r="V80" s="2" t="inlineStr"/>
    </row>
    <row r="81" ht="15" customHeight="1">
      <c r="A81" t="inlineStr">
        <is>
          <t>A 53170-2025</t>
        </is>
      </c>
      <c r="B81" t="inlineStr">
        <is>
          <t>avverkningsanmälan</t>
        </is>
      </c>
      <c r="C81" t="inlineStr">
        <is>
          <t>Föryngringsavverkning</t>
        </is>
      </c>
      <c r="D81" s="1" t="n">
        <v>45958</v>
      </c>
      <c r="E81" s="1" t="n">
        <v>46317</v>
      </c>
      <c r="F81" t="inlineStr">
        <is>
          <t>VÄSTRA GÖTALANDS LÄN</t>
        </is>
      </c>
      <c r="G81" t="inlineStr">
        <is>
          <t>SKARA</t>
        </is>
      </c>
      <c r="I81" t="n">
        <v>1.2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t="n">
        <v>0</v>
      </c>
      <c r="S81" t="n">
        <v>0</v>
      </c>
      <c r="T81" t="n">
        <v>0</v>
      </c>
      <c r="U81" t="n">
        <v>0</v>
      </c>
      <c r="V81" s="2" t="inlineStr"/>
    </row>
    <row r="82" ht="15" customHeight="1">
      <c r="A82" t="inlineStr">
        <is>
          <t>A 53527-2025</t>
        </is>
      </c>
      <c r="B82" t="inlineStr">
        <is>
          <t>avverkningsanmälan</t>
        </is>
      </c>
      <c r="C82" t="inlineStr">
        <is>
          <t>Föryngringsavverkning</t>
        </is>
      </c>
      <c r="D82" s="1" t="n">
        <v>45960</v>
      </c>
      <c r="E82" s="1" t="n">
        <v>46317</v>
      </c>
      <c r="F82" t="inlineStr">
        <is>
          <t>VÄSTRA GÖTALANDS LÄN</t>
        </is>
      </c>
      <c r="G82" t="inlineStr">
        <is>
          <t>SKARA</t>
        </is>
      </c>
      <c r="H82" t="inlineStr">
        <is>
          <t>Kyrkan</t>
        </is>
      </c>
      <c r="I82" t="n">
        <v>3.7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t="n">
        <v>0</v>
      </c>
      <c r="S82" t="n">
        <v>0</v>
      </c>
      <c r="T82" t="n">
        <v>0</v>
      </c>
      <c r="U82" t="n">
        <v>0</v>
      </c>
      <c r="V82" s="2" t="inlineStr"/>
    </row>
    <row r="83" ht="15" customHeight="1">
      <c r="A83" t="inlineStr">
        <is>
          <t>A 9006-2022</t>
        </is>
      </c>
      <c r="B83" t="inlineStr">
        <is>
          <t>avverkningsanmälan</t>
        </is>
      </c>
      <c r="C83" t="inlineStr">
        <is>
          <t>Föryngringsavverkning</t>
        </is>
      </c>
      <c r="D83" s="1" t="n">
        <v>44615</v>
      </c>
      <c r="E83" s="1" t="n">
        <v>46317</v>
      </c>
      <c r="F83" t="inlineStr">
        <is>
          <t>VÄSTRA GÖTALANDS LÄN</t>
        </is>
      </c>
      <c r="G83" t="inlineStr">
        <is>
          <t>SKARA</t>
        </is>
      </c>
      <c r="I83" t="n">
        <v>0.9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t="n">
        <v>0</v>
      </c>
      <c r="S83" t="n">
        <v>0</v>
      </c>
      <c r="T83" t="n">
        <v>0</v>
      </c>
      <c r="U83" t="n">
        <v>0</v>
      </c>
      <c r="V83" s="2" t="inlineStr"/>
    </row>
    <row r="84" ht="15" customHeight="1">
      <c r="A84" t="inlineStr">
        <is>
          <t>A 56849-2022</t>
        </is>
      </c>
      <c r="B84" t="inlineStr">
        <is>
          <t>avverkningsanmälan</t>
        </is>
      </c>
      <c r="C84" t="inlineStr">
        <is>
          <t>Föryngringsavverkning</t>
        </is>
      </c>
      <c r="D84" s="1" t="n">
        <v>44894</v>
      </c>
      <c r="E84" s="1" t="n">
        <v>46317</v>
      </c>
      <c r="F84" t="inlineStr">
        <is>
          <t>VÄSTRA GÖTALANDS LÄN</t>
        </is>
      </c>
      <c r="G84" t="inlineStr">
        <is>
          <t>SKARA</t>
        </is>
      </c>
      <c r="I84" t="n">
        <v>1.5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t="n">
        <v>0</v>
      </c>
      <c r="S84" t="n">
        <v>0</v>
      </c>
      <c r="T84" t="n">
        <v>0</v>
      </c>
      <c r="U84" t="n">
        <v>0</v>
      </c>
      <c r="V84" s="2" t="inlineStr"/>
    </row>
    <row r="85" ht="15" customHeight="1">
      <c r="A85" t="inlineStr">
        <is>
          <t>A 56274-2025</t>
        </is>
      </c>
      <c r="B85" t="inlineStr">
        <is>
          <t>avverkningsanmälan</t>
        </is>
      </c>
      <c r="C85" t="inlineStr">
        <is>
          <t>Föryngringsavverkning</t>
        </is>
      </c>
      <c r="D85" s="1" t="n">
        <v>45974</v>
      </c>
      <c r="E85" s="1" t="n">
        <v>46317</v>
      </c>
      <c r="F85" t="inlineStr">
        <is>
          <t>VÄSTRA GÖTALANDS LÄN</t>
        </is>
      </c>
      <c r="G85" t="inlineStr">
        <is>
          <t>SKARA</t>
        </is>
      </c>
      <c r="I85" t="n">
        <v>1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t="n">
        <v>0</v>
      </c>
      <c r="S85" t="n">
        <v>0</v>
      </c>
      <c r="T85" t="n">
        <v>0</v>
      </c>
      <c r="U85" t="n">
        <v>0</v>
      </c>
      <c r="V85" s="2" t="inlineStr"/>
    </row>
    <row r="86" ht="15" customHeight="1">
      <c r="A86" t="inlineStr">
        <is>
          <t>A 9118-2025</t>
        </is>
      </c>
      <c r="B86" t="inlineStr">
        <is>
          <t>avverkningsanmälan</t>
        </is>
      </c>
      <c r="C86" t="inlineStr">
        <is>
          <t>Föryngringsavverkning</t>
        </is>
      </c>
      <c r="D86" s="1" t="n">
        <v>45713</v>
      </c>
      <c r="E86" s="1" t="n">
        <v>46317</v>
      </c>
      <c r="F86" t="inlineStr">
        <is>
          <t>VÄSTRA GÖTALANDS LÄN</t>
        </is>
      </c>
      <c r="G86" t="inlineStr">
        <is>
          <t>SKARA</t>
        </is>
      </c>
      <c r="I86" t="n">
        <v>2.7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t="n">
        <v>0</v>
      </c>
      <c r="S86" t="n">
        <v>0</v>
      </c>
      <c r="T86" t="n">
        <v>0</v>
      </c>
      <c r="U86" t="n">
        <v>0</v>
      </c>
      <c r="V86" s="2" t="inlineStr"/>
    </row>
    <row r="87" ht="15" customHeight="1">
      <c r="A87" t="inlineStr">
        <is>
          <t>A 28073-2023</t>
        </is>
      </c>
      <c r="B87" t="inlineStr">
        <is>
          <t>avverkningsanmälan</t>
        </is>
      </c>
      <c r="C87" t="inlineStr">
        <is>
          <t>Föryngringsavverkning</t>
        </is>
      </c>
      <c r="D87" s="1" t="n">
        <v>45099</v>
      </c>
      <c r="E87" s="1" t="n">
        <v>46317</v>
      </c>
      <c r="F87" t="inlineStr">
        <is>
          <t>VÄSTRA GÖTALANDS LÄN</t>
        </is>
      </c>
      <c r="G87" t="inlineStr">
        <is>
          <t>SKARA</t>
        </is>
      </c>
      <c r="I87" t="n">
        <v>3.8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t="n">
        <v>0</v>
      </c>
      <c r="S87" t="n">
        <v>0</v>
      </c>
      <c r="T87" t="n">
        <v>0</v>
      </c>
      <c r="U87" t="n">
        <v>0</v>
      </c>
      <c r="V87" s="2" t="inlineStr"/>
    </row>
    <row r="88" ht="15" customHeight="1">
      <c r="A88" t="inlineStr">
        <is>
          <t>A 60840-2021</t>
        </is>
      </c>
      <c r="B88" t="inlineStr">
        <is>
          <t>avverkningsanmälan</t>
        </is>
      </c>
      <c r="C88" t="inlineStr">
        <is>
          <t>Föryngringsavverkning</t>
        </is>
      </c>
      <c r="D88" s="1" t="n">
        <v>44497</v>
      </c>
      <c r="E88" s="1" t="n">
        <v>46317</v>
      </c>
      <c r="F88" t="inlineStr">
        <is>
          <t>VÄSTRA GÖTALANDS LÄN</t>
        </is>
      </c>
      <c r="G88" t="inlineStr">
        <is>
          <t>SKARA</t>
        </is>
      </c>
      <c r="I88" t="n">
        <v>4.6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t="n">
        <v>0</v>
      </c>
      <c r="S88" t="n">
        <v>0</v>
      </c>
      <c r="T88" t="n">
        <v>0</v>
      </c>
      <c r="U88" t="n">
        <v>0</v>
      </c>
      <c r="V88" s="2" t="inlineStr"/>
    </row>
    <row r="89" ht="15" customHeight="1">
      <c r="A89" t="inlineStr">
        <is>
          <t>A 5559-2023</t>
        </is>
      </c>
      <c r="B89" t="inlineStr">
        <is>
          <t>avverkningsanmälan</t>
        </is>
      </c>
      <c r="C89" t="inlineStr">
        <is>
          <t>Föryngringsavverkning</t>
        </is>
      </c>
      <c r="D89" s="1" t="n">
        <v>44957</v>
      </c>
      <c r="E89" s="1" t="n">
        <v>46317</v>
      </c>
      <c r="F89" t="inlineStr">
        <is>
          <t>VÄSTRA GÖTALANDS LÄN</t>
        </is>
      </c>
      <c r="G89" t="inlineStr">
        <is>
          <t>SKARA</t>
        </is>
      </c>
      <c r="I89" t="n">
        <v>1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t="n">
        <v>0</v>
      </c>
      <c r="S89" t="n">
        <v>0</v>
      </c>
      <c r="T89" t="n">
        <v>0</v>
      </c>
      <c r="U89" t="n">
        <v>0</v>
      </c>
      <c r="V89" s="2" t="inlineStr"/>
    </row>
    <row r="90" ht="15" customHeight="1">
      <c r="A90" t="inlineStr">
        <is>
          <t>A 60086-2024</t>
        </is>
      </c>
      <c r="B90" t="inlineStr">
        <is>
          <t>avverkningsanmälan</t>
        </is>
      </c>
      <c r="C90" t="inlineStr">
        <is>
          <t>Föryngringsavverkning</t>
        </is>
      </c>
      <c r="D90" s="1" t="n">
        <v>45642</v>
      </c>
      <c r="E90" s="1" t="n">
        <v>46317</v>
      </c>
      <c r="F90" t="inlineStr">
        <is>
          <t>VÄSTRA GÖTALANDS LÄN</t>
        </is>
      </c>
      <c r="G90" t="inlineStr">
        <is>
          <t>SKARA</t>
        </is>
      </c>
      <c r="I90" t="n">
        <v>3.8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t="n">
        <v>0</v>
      </c>
      <c r="S90" t="n">
        <v>0</v>
      </c>
      <c r="T90" t="n">
        <v>0</v>
      </c>
      <c r="U90" t="n">
        <v>0</v>
      </c>
      <c r="V90" s="2" t="inlineStr"/>
    </row>
    <row r="91" ht="15" customHeight="1">
      <c r="A91" t="inlineStr">
        <is>
          <t>A 7233-2023</t>
        </is>
      </c>
      <c r="B91" t="inlineStr">
        <is>
          <t>avverkningsanmälan</t>
        </is>
      </c>
      <c r="C91" t="inlineStr">
        <is>
          <t>Föryngringsavverkning</t>
        </is>
      </c>
      <c r="D91" s="1" t="n">
        <v>44970</v>
      </c>
      <c r="E91" s="1" t="n">
        <v>46317</v>
      </c>
      <c r="F91" t="inlineStr">
        <is>
          <t>VÄSTRA GÖTALANDS LÄN</t>
        </is>
      </c>
      <c r="G91" t="inlineStr">
        <is>
          <t>SKARA</t>
        </is>
      </c>
      <c r="I91" t="n">
        <v>0.2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t="n">
        <v>0</v>
      </c>
      <c r="S91" t="n">
        <v>0</v>
      </c>
      <c r="T91" t="n">
        <v>0</v>
      </c>
      <c r="U91" t="n">
        <v>0</v>
      </c>
      <c r="V91" s="2" t="inlineStr"/>
    </row>
    <row r="92" ht="15" customHeight="1">
      <c r="A92" t="inlineStr">
        <is>
          <t>A 32668-2024</t>
        </is>
      </c>
      <c r="B92" t="inlineStr">
        <is>
          <t>avverkningsanmälan</t>
        </is>
      </c>
      <c r="C92" t="inlineStr">
        <is>
          <t>Föryngringsavverkning</t>
        </is>
      </c>
      <c r="D92" s="1" t="n">
        <v>45514</v>
      </c>
      <c r="E92" s="1" t="n">
        <v>46317</v>
      </c>
      <c r="F92" t="inlineStr">
        <is>
          <t>VÄSTRA GÖTALANDS LÄN</t>
        </is>
      </c>
      <c r="G92" t="inlineStr">
        <is>
          <t>SKARA</t>
        </is>
      </c>
      <c r="I92" t="n">
        <v>1.2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t="n">
        <v>0</v>
      </c>
      <c r="S92" t="n">
        <v>0</v>
      </c>
      <c r="T92" t="n">
        <v>0</v>
      </c>
      <c r="U92" t="n">
        <v>0</v>
      </c>
      <c r="V92" s="2" t="inlineStr"/>
    </row>
    <row r="93" ht="15" customHeight="1">
      <c r="A93" t="inlineStr">
        <is>
          <t>A 61324-2025</t>
        </is>
      </c>
      <c r="B93" t="inlineStr">
        <is>
          <t>avverkningsanmälan</t>
        </is>
      </c>
      <c r="C93" t="inlineStr">
        <is>
          <t>Föryngringsavverkning</t>
        </is>
      </c>
      <c r="D93" s="1" t="n">
        <v>46001</v>
      </c>
      <c r="E93" s="1" t="n">
        <v>46317</v>
      </c>
      <c r="F93" t="inlineStr">
        <is>
          <t>VÄSTRA GÖTALANDS LÄN</t>
        </is>
      </c>
      <c r="G93" t="inlineStr">
        <is>
          <t>SKARA</t>
        </is>
      </c>
      <c r="H93" t="inlineStr">
        <is>
          <t>Sveaskog</t>
        </is>
      </c>
      <c r="I93" t="n">
        <v>0.7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t="n">
        <v>0</v>
      </c>
      <c r="S93" t="n">
        <v>0</v>
      </c>
      <c r="T93" t="n">
        <v>0</v>
      </c>
      <c r="U93" t="n">
        <v>0</v>
      </c>
      <c r="V93" s="2" t="inlineStr"/>
    </row>
    <row r="94" ht="15" customHeight="1">
      <c r="A94" t="inlineStr">
        <is>
          <t>A 31128-2023</t>
        </is>
      </c>
      <c r="B94" t="inlineStr">
        <is>
          <t>avverkningsanmälan</t>
        </is>
      </c>
      <c r="C94" t="inlineStr">
        <is>
          <t>Föryngringsavverkning</t>
        </is>
      </c>
      <c r="D94" s="1" t="n">
        <v>45113</v>
      </c>
      <c r="E94" s="1" t="n">
        <v>46317</v>
      </c>
      <c r="F94" t="inlineStr">
        <is>
          <t>VÄSTRA GÖTALANDS LÄN</t>
        </is>
      </c>
      <c r="G94" t="inlineStr">
        <is>
          <t>SKARA</t>
        </is>
      </c>
      <c r="I94" t="n">
        <v>0.8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t="n">
        <v>0</v>
      </c>
      <c r="S94" t="n">
        <v>0</v>
      </c>
      <c r="T94" t="n">
        <v>0</v>
      </c>
      <c r="U94" t="n">
        <v>0</v>
      </c>
      <c r="V94" s="2" t="inlineStr"/>
    </row>
    <row r="95" ht="15" customHeight="1">
      <c r="A95" t="inlineStr">
        <is>
          <t>A 6366-2025</t>
        </is>
      </c>
      <c r="B95" t="inlineStr">
        <is>
          <t>avverkningsanmälan</t>
        </is>
      </c>
      <c r="C95" t="inlineStr">
        <is>
          <t>Föryngringsavverkning</t>
        </is>
      </c>
      <c r="D95" s="1" t="n">
        <v>45699</v>
      </c>
      <c r="E95" s="1" t="n">
        <v>46317</v>
      </c>
      <c r="F95" t="inlineStr">
        <is>
          <t>VÄSTRA GÖTALANDS LÄN</t>
        </is>
      </c>
      <c r="G95" t="inlineStr">
        <is>
          <t>SKARA</t>
        </is>
      </c>
      <c r="H95" t="inlineStr">
        <is>
          <t>Sveaskog</t>
        </is>
      </c>
      <c r="I95" t="n">
        <v>2.4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t="n">
        <v>0</v>
      </c>
      <c r="S95" t="n">
        <v>0</v>
      </c>
      <c r="T95" t="n">
        <v>0</v>
      </c>
      <c r="U95" t="n">
        <v>0</v>
      </c>
      <c r="V95" s="2" t="inlineStr"/>
    </row>
    <row r="96" ht="15" customHeight="1">
      <c r="A96" t="inlineStr">
        <is>
          <t>A 7522-2026</t>
        </is>
      </c>
      <c r="B96" t="inlineStr">
        <is>
          <t>avverkningsanmälan</t>
        </is>
      </c>
      <c r="C96" t="inlineStr">
        <is>
          <t>Föryngringsavverkning</t>
        </is>
      </c>
      <c r="D96" s="1" t="n">
        <v>46059</v>
      </c>
      <c r="E96" s="1" t="n">
        <v>46317</v>
      </c>
      <c r="F96" t="inlineStr">
        <is>
          <t>VÄSTRA GÖTALANDS LÄN</t>
        </is>
      </c>
      <c r="G96" t="inlineStr">
        <is>
          <t>SKARA</t>
        </is>
      </c>
      <c r="I96" t="n">
        <v>8.4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t="n">
        <v>0</v>
      </c>
      <c r="S96" t="n">
        <v>0</v>
      </c>
      <c r="T96" t="n">
        <v>0</v>
      </c>
      <c r="U96" t="n">
        <v>0</v>
      </c>
      <c r="V96" s="2" t="inlineStr"/>
    </row>
    <row r="97" ht="15" customHeight="1">
      <c r="A97" t="inlineStr">
        <is>
          <t>A 7530-2026</t>
        </is>
      </c>
      <c r="B97" t="inlineStr">
        <is>
          <t>avverkningsanmälan</t>
        </is>
      </c>
      <c r="C97" t="inlineStr">
        <is>
          <t>Föryngringsavverkning</t>
        </is>
      </c>
      <c r="D97" s="1" t="n">
        <v>46059</v>
      </c>
      <c r="E97" s="1" t="n">
        <v>46317</v>
      </c>
      <c r="F97" t="inlineStr">
        <is>
          <t>VÄSTRA GÖTALANDS LÄN</t>
        </is>
      </c>
      <c r="G97" t="inlineStr">
        <is>
          <t>SKARA</t>
        </is>
      </c>
      <c r="I97" t="n">
        <v>1.6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t="n">
        <v>0</v>
      </c>
      <c r="S97" t="n">
        <v>0</v>
      </c>
      <c r="T97" t="n">
        <v>0</v>
      </c>
      <c r="U97" t="n">
        <v>0</v>
      </c>
      <c r="V97" s="2" t="inlineStr"/>
    </row>
    <row r="98" ht="15" customHeight="1">
      <c r="A98" t="inlineStr">
        <is>
          <t>A 10176-2025</t>
        </is>
      </c>
      <c r="B98" t="inlineStr">
        <is>
          <t>avverkningsanmälan</t>
        </is>
      </c>
      <c r="C98" t="inlineStr">
        <is>
          <t>Föryngringsavverkning</t>
        </is>
      </c>
      <c r="D98" s="1" t="n">
        <v>45719</v>
      </c>
      <c r="E98" s="1" t="n">
        <v>46317</v>
      </c>
      <c r="F98" t="inlineStr">
        <is>
          <t>VÄSTRA GÖTALANDS LÄN</t>
        </is>
      </c>
      <c r="G98" t="inlineStr">
        <is>
          <t>SKARA</t>
        </is>
      </c>
      <c r="I98" t="n">
        <v>0.6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t="n">
        <v>0</v>
      </c>
      <c r="S98" t="n">
        <v>0</v>
      </c>
      <c r="T98" t="n">
        <v>0</v>
      </c>
      <c r="U98" t="n">
        <v>0</v>
      </c>
      <c r="V98" s="2" t="inlineStr"/>
    </row>
    <row r="99" ht="15" customHeight="1">
      <c r="A99" t="inlineStr">
        <is>
          <t>A 10827-2023</t>
        </is>
      </c>
      <c r="B99" t="inlineStr">
        <is>
          <t>avverkningsanmälan</t>
        </is>
      </c>
      <c r="C99" t="inlineStr">
        <is>
          <t>Föryngringsavverkning</t>
        </is>
      </c>
      <c r="D99" s="1" t="n">
        <v>44990</v>
      </c>
      <c r="E99" s="1" t="n">
        <v>46317</v>
      </c>
      <c r="F99" t="inlineStr">
        <is>
          <t>VÄSTRA GÖTALANDS LÄN</t>
        </is>
      </c>
      <c r="G99" t="inlineStr">
        <is>
          <t>SKARA</t>
        </is>
      </c>
      <c r="I99" t="n">
        <v>0.2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t="n">
        <v>0</v>
      </c>
      <c r="S99" t="n">
        <v>0</v>
      </c>
      <c r="T99" t="n">
        <v>0</v>
      </c>
      <c r="U99" t="n">
        <v>0</v>
      </c>
      <c r="V99" s="2" t="inlineStr"/>
    </row>
    <row r="100" ht="15" customHeight="1">
      <c r="A100" t="inlineStr">
        <is>
          <t>A 27980-2023</t>
        </is>
      </c>
      <c r="B100" t="inlineStr">
        <is>
          <t>avverkningsanmälan</t>
        </is>
      </c>
      <c r="C100" t="inlineStr">
        <is>
          <t>Föryngringsavverkning</t>
        </is>
      </c>
      <c r="D100" s="1" t="n">
        <v>45098</v>
      </c>
      <c r="E100" s="1" t="n">
        <v>46317</v>
      </c>
      <c r="F100" t="inlineStr">
        <is>
          <t>VÄSTRA GÖTALANDS LÄN</t>
        </is>
      </c>
      <c r="G100" t="inlineStr">
        <is>
          <t>SKARA</t>
        </is>
      </c>
      <c r="H100" t="inlineStr">
        <is>
          <t>Sveaskog</t>
        </is>
      </c>
      <c r="I100" t="n">
        <v>1.9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t="n">
        <v>0</v>
      </c>
      <c r="S100" t="n">
        <v>0</v>
      </c>
      <c r="T100" t="n">
        <v>0</v>
      </c>
      <c r="U100" t="n">
        <v>0</v>
      </c>
      <c r="V100" s="2" t="inlineStr"/>
    </row>
    <row r="101" ht="15" customHeight="1">
      <c r="A101" t="inlineStr">
        <is>
          <t>A 42874-2022</t>
        </is>
      </c>
      <c r="B101" t="inlineStr">
        <is>
          <t>avverkningsanmälan</t>
        </is>
      </c>
      <c r="C101" t="inlineStr">
        <is>
          <t>Avverkning för annat ändamål</t>
        </is>
      </c>
      <c r="D101" s="1" t="n">
        <v>44832</v>
      </c>
      <c r="E101" s="1" t="n">
        <v>46317</v>
      </c>
      <c r="F101" t="inlineStr">
        <is>
          <t>VÄSTRA GÖTALANDS LÄN</t>
        </is>
      </c>
      <c r="G101" t="inlineStr">
        <is>
          <t>SKARA</t>
        </is>
      </c>
      <c r="I101" t="n">
        <v>2.3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t="n">
        <v>0</v>
      </c>
      <c r="S101" t="n">
        <v>0</v>
      </c>
      <c r="T101" t="n">
        <v>0</v>
      </c>
      <c r="U101" t="n">
        <v>0</v>
      </c>
      <c r="V101" s="2" t="inlineStr"/>
    </row>
    <row r="102" ht="15" customHeight="1">
      <c r="A102" t="inlineStr">
        <is>
          <t>A 9691-2026</t>
        </is>
      </c>
      <c r="B102" t="inlineStr">
        <is>
          <t>avverkningsanmälan</t>
        </is>
      </c>
      <c r="C102" t="inlineStr">
        <is>
          <t>Föryngringsavverkning</t>
        </is>
      </c>
      <c r="D102" s="1" t="n">
        <v>46072</v>
      </c>
      <c r="E102" s="1" t="n">
        <v>46317</v>
      </c>
      <c r="F102" t="inlineStr">
        <is>
          <t>VÄSTRA GÖTALANDS LÄN</t>
        </is>
      </c>
      <c r="G102" t="inlineStr">
        <is>
          <t>SKARA</t>
        </is>
      </c>
      <c r="I102" t="n">
        <v>1.1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t="n">
        <v>0</v>
      </c>
      <c r="S102" t="n">
        <v>0</v>
      </c>
      <c r="T102" t="n">
        <v>0</v>
      </c>
      <c r="U102" t="n">
        <v>0</v>
      </c>
      <c r="V102" s="2" t="inlineStr"/>
    </row>
    <row r="103" ht="15" customHeight="1">
      <c r="A103" t="inlineStr">
        <is>
          <t>A 26091-2023</t>
        </is>
      </c>
      <c r="B103" t="inlineStr">
        <is>
          <t>avverkningsanmälan</t>
        </is>
      </c>
      <c r="C103" t="inlineStr">
        <is>
          <t>Föryngringsavverkning</t>
        </is>
      </c>
      <c r="D103" s="1" t="n">
        <v>45091</v>
      </c>
      <c r="E103" s="1" t="n">
        <v>46317</v>
      </c>
      <c r="F103" t="inlineStr">
        <is>
          <t>VÄSTRA GÖTALANDS LÄN</t>
        </is>
      </c>
      <c r="G103" t="inlineStr">
        <is>
          <t>SKARA</t>
        </is>
      </c>
      <c r="I103" t="n">
        <v>0.5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t="n">
        <v>0</v>
      </c>
      <c r="S103" t="n">
        <v>0</v>
      </c>
      <c r="T103" t="n">
        <v>0</v>
      </c>
      <c r="U103" t="n">
        <v>0</v>
      </c>
      <c r="V103" s="2" t="inlineStr"/>
    </row>
    <row r="104" ht="15" customHeight="1">
      <c r="A104" t="inlineStr">
        <is>
          <t>A 1198-2025</t>
        </is>
      </c>
      <c r="B104" t="inlineStr">
        <is>
          <t>avverkningsanmälan</t>
        </is>
      </c>
      <c r="C104" t="inlineStr">
        <is>
          <t>Föryngringsavverkning</t>
        </is>
      </c>
      <c r="D104" s="1" t="n">
        <v>45667</v>
      </c>
      <c r="E104" s="1" t="n">
        <v>46317</v>
      </c>
      <c r="F104" t="inlineStr">
        <is>
          <t>VÄSTRA GÖTALANDS LÄN</t>
        </is>
      </c>
      <c r="G104" t="inlineStr">
        <is>
          <t>SKARA</t>
        </is>
      </c>
      <c r="H104" t="inlineStr">
        <is>
          <t>Sveaskog</t>
        </is>
      </c>
      <c r="I104" t="n">
        <v>3.5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t="n">
        <v>0</v>
      </c>
      <c r="S104" t="n">
        <v>0</v>
      </c>
      <c r="T104" t="n">
        <v>0</v>
      </c>
      <c r="U104" t="n">
        <v>0</v>
      </c>
      <c r="V104" s="2" t="inlineStr"/>
    </row>
    <row r="105" ht="15" customHeight="1">
      <c r="A105" t="inlineStr">
        <is>
          <t>A 65095-2023</t>
        </is>
      </c>
      <c r="B105" t="inlineStr">
        <is>
          <t>avverkningsanmälan</t>
        </is>
      </c>
      <c r="C105" t="inlineStr">
        <is>
          <t>Föryngringsavverkning</t>
        </is>
      </c>
      <c r="D105" s="1" t="n">
        <v>45288</v>
      </c>
      <c r="E105" s="1" t="n">
        <v>46317</v>
      </c>
      <c r="F105" t="inlineStr">
        <is>
          <t>VÄSTRA GÖTALANDS LÄN</t>
        </is>
      </c>
      <c r="G105" t="inlineStr">
        <is>
          <t>SKARA</t>
        </is>
      </c>
      <c r="I105" t="n">
        <v>0.4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t="n">
        <v>0</v>
      </c>
      <c r="S105" t="n">
        <v>0</v>
      </c>
      <c r="T105" t="n">
        <v>0</v>
      </c>
      <c r="U105" t="n">
        <v>0</v>
      </c>
      <c r="V105" s="2" t="inlineStr"/>
    </row>
    <row r="106" ht="15" customHeight="1">
      <c r="A106" t="inlineStr">
        <is>
          <t>A 30085-2023</t>
        </is>
      </c>
      <c r="B106" t="inlineStr">
        <is>
          <t>avverkningsanmälan</t>
        </is>
      </c>
      <c r="C106" t="inlineStr">
        <is>
          <t>Föryngringsavverkning</t>
        </is>
      </c>
      <c r="D106" s="1" t="n">
        <v>45110</v>
      </c>
      <c r="E106" s="1" t="n">
        <v>46317</v>
      </c>
      <c r="F106" t="inlineStr">
        <is>
          <t>VÄSTRA GÖTALANDS LÄN</t>
        </is>
      </c>
      <c r="G106" t="inlineStr">
        <is>
          <t>SKARA</t>
        </is>
      </c>
      <c r="I106" t="n">
        <v>0.5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t="n">
        <v>0</v>
      </c>
      <c r="S106" t="n">
        <v>0</v>
      </c>
      <c r="T106" t="n">
        <v>0</v>
      </c>
      <c r="U106" t="n">
        <v>0</v>
      </c>
      <c r="V106" s="2" t="inlineStr"/>
    </row>
    <row r="107" ht="15" customHeight="1">
      <c r="A107" t="inlineStr">
        <is>
          <t>A 18739-2023</t>
        </is>
      </c>
      <c r="B107" t="inlineStr">
        <is>
          <t>avverkningsanmälan</t>
        </is>
      </c>
      <c r="C107" t="inlineStr">
        <is>
          <t>Föryngringsavverkning</t>
        </is>
      </c>
      <c r="D107" s="1" t="n">
        <v>45043</v>
      </c>
      <c r="E107" s="1" t="n">
        <v>46317</v>
      </c>
      <c r="F107" t="inlineStr">
        <is>
          <t>VÄSTRA GÖTALANDS LÄN</t>
        </is>
      </c>
      <c r="G107" t="inlineStr">
        <is>
          <t>SKARA</t>
        </is>
      </c>
      <c r="I107" t="n">
        <v>2.7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t="n">
        <v>0</v>
      </c>
      <c r="S107" t="n">
        <v>0</v>
      </c>
      <c r="T107" t="n">
        <v>0</v>
      </c>
      <c r="U107" t="n">
        <v>0</v>
      </c>
      <c r="V107" s="2" t="inlineStr"/>
    </row>
    <row r="108" ht="15" customHeight="1">
      <c r="A108" t="inlineStr">
        <is>
          <t>A 12332-2026</t>
        </is>
      </c>
      <c r="B108" t="inlineStr">
        <is>
          <t>avverkningsanmälan</t>
        </is>
      </c>
      <c r="C108" t="inlineStr">
        <is>
          <t>Avverkning för annat ändamål</t>
        </is>
      </c>
      <c r="D108" s="1" t="n">
        <v>46087</v>
      </c>
      <c r="E108" s="1" t="n">
        <v>46317</v>
      </c>
      <c r="F108" t="inlineStr">
        <is>
          <t>VÄSTRA GÖTALANDS LÄN</t>
        </is>
      </c>
      <c r="G108" t="inlineStr">
        <is>
          <t>SKARA</t>
        </is>
      </c>
      <c r="I108" t="n">
        <v>1.1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t="n">
        <v>0</v>
      </c>
      <c r="S108" t="n">
        <v>0</v>
      </c>
      <c r="T108" t="n">
        <v>0</v>
      </c>
      <c r="U108" t="n">
        <v>0</v>
      </c>
      <c r="V108" s="2" t="inlineStr"/>
    </row>
    <row r="109" ht="15" customHeight="1">
      <c r="A109" t="inlineStr">
        <is>
          <t>A 13276-2026</t>
        </is>
      </c>
      <c r="B109" t="inlineStr">
        <is>
          <t>avverkningsanmälan</t>
        </is>
      </c>
      <c r="C109" t="inlineStr">
        <is>
          <t>Föryngringsavverkning</t>
        </is>
      </c>
      <c r="D109" s="1" t="n">
        <v>46093</v>
      </c>
      <c r="E109" s="1" t="n">
        <v>46317</v>
      </c>
      <c r="F109" t="inlineStr">
        <is>
          <t>VÄSTRA GÖTALANDS LÄN</t>
        </is>
      </c>
      <c r="G109" t="inlineStr">
        <is>
          <t>SKARA</t>
        </is>
      </c>
      <c r="I109" t="n">
        <v>1.1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t="n">
        <v>0</v>
      </c>
      <c r="S109" t="n">
        <v>0</v>
      </c>
      <c r="T109" t="n">
        <v>0</v>
      </c>
      <c r="U109" t="n">
        <v>0</v>
      </c>
      <c r="V109" s="2" t="inlineStr"/>
    </row>
    <row r="110" ht="15" customHeight="1">
      <c r="A110" t="inlineStr">
        <is>
          <t>A 13063-2026</t>
        </is>
      </c>
      <c r="B110" t="inlineStr">
        <is>
          <t>avverkningsanmälan</t>
        </is>
      </c>
      <c r="C110" t="inlineStr">
        <is>
          <t>Föryngringsavverkning</t>
        </is>
      </c>
      <c r="D110" s="1" t="n">
        <v>46093</v>
      </c>
      <c r="E110" s="1" t="n">
        <v>46317</v>
      </c>
      <c r="F110" t="inlineStr">
        <is>
          <t>VÄSTRA GÖTALANDS LÄN</t>
        </is>
      </c>
      <c r="G110" t="inlineStr">
        <is>
          <t>SKARA</t>
        </is>
      </c>
      <c r="H110" t="inlineStr">
        <is>
          <t>Sveaskog</t>
        </is>
      </c>
      <c r="I110" t="n">
        <v>1.3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t="n">
        <v>0</v>
      </c>
      <c r="S110" t="n">
        <v>0</v>
      </c>
      <c r="T110" t="n">
        <v>0</v>
      </c>
      <c r="U110" t="n">
        <v>0</v>
      </c>
      <c r="V110" s="2" t="inlineStr"/>
    </row>
    <row r="111" ht="15" customHeight="1">
      <c r="A111" t="inlineStr">
        <is>
          <t>A 42301-2023</t>
        </is>
      </c>
      <c r="B111" t="inlineStr">
        <is>
          <t>avverkningsanmälan</t>
        </is>
      </c>
      <c r="C111" t="inlineStr">
        <is>
          <t>Föryngringsavverkning</t>
        </is>
      </c>
      <c r="D111" s="1" t="n">
        <v>45180</v>
      </c>
      <c r="E111" s="1" t="n">
        <v>46317</v>
      </c>
      <c r="F111" t="inlineStr">
        <is>
          <t>VÄSTRA GÖTALANDS LÄN</t>
        </is>
      </c>
      <c r="G111" t="inlineStr">
        <is>
          <t>SKARA</t>
        </is>
      </c>
      <c r="I111" t="n">
        <v>1.1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t="n">
        <v>0</v>
      </c>
      <c r="S111" t="n">
        <v>0</v>
      </c>
      <c r="T111" t="n">
        <v>0</v>
      </c>
      <c r="U111" t="n">
        <v>0</v>
      </c>
      <c r="V111" s="2" t="inlineStr"/>
    </row>
    <row r="112" ht="15" customHeight="1">
      <c r="A112" t="inlineStr">
        <is>
          <t>A 30515-2024</t>
        </is>
      </c>
      <c r="B112" t="inlineStr">
        <is>
          <t>avverkningsanmälan</t>
        </is>
      </c>
      <c r="C112" t="inlineStr">
        <is>
          <t>Föryngringsavverkning</t>
        </is>
      </c>
      <c r="D112" s="1" t="n">
        <v>45492</v>
      </c>
      <c r="E112" s="1" t="n">
        <v>46317</v>
      </c>
      <c r="F112" t="inlineStr">
        <is>
          <t>VÄSTRA GÖTALANDS LÄN</t>
        </is>
      </c>
      <c r="G112" t="inlineStr">
        <is>
          <t>SKARA</t>
        </is>
      </c>
      <c r="I112" t="n">
        <v>1.3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t="n">
        <v>0</v>
      </c>
      <c r="S112" t="n">
        <v>0</v>
      </c>
      <c r="T112" t="n">
        <v>0</v>
      </c>
      <c r="U112" t="n">
        <v>0</v>
      </c>
      <c r="V112" s="2" t="inlineStr"/>
    </row>
    <row r="113" ht="15" customHeight="1">
      <c r="A113" t="inlineStr">
        <is>
          <t>A 14597-2026</t>
        </is>
      </c>
      <c r="B113" t="inlineStr">
        <is>
          <t>avverkningsanmälan</t>
        </is>
      </c>
      <c r="C113" t="inlineStr">
        <is>
          <t>Föryngringsavverkning</t>
        </is>
      </c>
      <c r="D113" s="1" t="n">
        <v>46101</v>
      </c>
      <c r="E113" s="1" t="n">
        <v>46317</v>
      </c>
      <c r="F113" t="inlineStr">
        <is>
          <t>VÄSTRA GÖTALANDS LÄN</t>
        </is>
      </c>
      <c r="G113" t="inlineStr">
        <is>
          <t>SKARA</t>
        </is>
      </c>
      <c r="I113" t="n">
        <v>5.9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t="n">
        <v>0</v>
      </c>
      <c r="S113" t="n">
        <v>0</v>
      </c>
      <c r="T113" t="n">
        <v>0</v>
      </c>
      <c r="U113" t="n">
        <v>0</v>
      </c>
      <c r="V113" s="2" t="inlineStr"/>
    </row>
    <row r="114" ht="15" customHeight="1">
      <c r="A114" t="inlineStr">
        <is>
          <t>A 14422-2026</t>
        </is>
      </c>
      <c r="B114" t="inlineStr">
        <is>
          <t>avverkningsanmälan</t>
        </is>
      </c>
      <c r="C114" t="inlineStr">
        <is>
          <t>Föryngringsavverkning</t>
        </is>
      </c>
      <c r="D114" s="1" t="n">
        <v>46100</v>
      </c>
      <c r="E114" s="1" t="n">
        <v>46317</v>
      </c>
      <c r="F114" t="inlineStr">
        <is>
          <t>VÄSTRA GÖTALANDS LÄN</t>
        </is>
      </c>
      <c r="G114" t="inlineStr">
        <is>
          <t>SKARA</t>
        </is>
      </c>
      <c r="H114" t="inlineStr">
        <is>
          <t>Sveaskog</t>
        </is>
      </c>
      <c r="I114" t="n">
        <v>4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t="n">
        <v>0</v>
      </c>
      <c r="S114" t="n">
        <v>0</v>
      </c>
      <c r="T114" t="n">
        <v>0</v>
      </c>
      <c r="U114" t="n">
        <v>0</v>
      </c>
      <c r="V114" s="2" t="inlineStr"/>
    </row>
    <row r="115" ht="15" customHeight="1">
      <c r="A115" t="inlineStr">
        <is>
          <t>A 15429-2026</t>
        </is>
      </c>
      <c r="B115" t="inlineStr">
        <is>
          <t>avverkningsanmälan</t>
        </is>
      </c>
      <c r="C115" t="inlineStr">
        <is>
          <t>Föryngringsavverkning</t>
        </is>
      </c>
      <c r="D115" s="1" t="n">
        <v>46106</v>
      </c>
      <c r="E115" s="1" t="n">
        <v>46317</v>
      </c>
      <c r="F115" t="inlineStr">
        <is>
          <t>VÄSTRA GÖTALANDS LÄN</t>
        </is>
      </c>
      <c r="G115" t="inlineStr">
        <is>
          <t>SKARA</t>
        </is>
      </c>
      <c r="H115" t="inlineStr">
        <is>
          <t>Sveaskog</t>
        </is>
      </c>
      <c r="I115" t="n">
        <v>0.6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t="n">
        <v>0</v>
      </c>
      <c r="S115" t="n">
        <v>0</v>
      </c>
      <c r="T115" t="n">
        <v>0</v>
      </c>
      <c r="U115" t="n">
        <v>0</v>
      </c>
      <c r="V115" s="2" t="inlineStr"/>
    </row>
    <row r="116" ht="15" customHeight="1">
      <c r="A116" t="inlineStr">
        <is>
          <t>A 15438-2026</t>
        </is>
      </c>
      <c r="B116" t="inlineStr">
        <is>
          <t>avverkningsanmälan</t>
        </is>
      </c>
      <c r="C116" t="inlineStr">
        <is>
          <t>Föryngringsavverkning</t>
        </is>
      </c>
      <c r="D116" s="1" t="n">
        <v>46106</v>
      </c>
      <c r="E116" s="1" t="n">
        <v>46317</v>
      </c>
      <c r="F116" t="inlineStr">
        <is>
          <t>VÄSTRA GÖTALANDS LÄN</t>
        </is>
      </c>
      <c r="G116" t="inlineStr">
        <is>
          <t>SKARA</t>
        </is>
      </c>
      <c r="H116" t="inlineStr">
        <is>
          <t>Sveaskog</t>
        </is>
      </c>
      <c r="I116" t="n">
        <v>4.2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t="n">
        <v>0</v>
      </c>
      <c r="S116" t="n">
        <v>0</v>
      </c>
      <c r="T116" t="n">
        <v>0</v>
      </c>
      <c r="U116" t="n">
        <v>0</v>
      </c>
      <c r="V116" s="2" t="inlineStr"/>
    </row>
    <row r="117" ht="15" customHeight="1">
      <c r="A117" t="inlineStr">
        <is>
          <t>A 15425-2026</t>
        </is>
      </c>
      <c r="B117" t="inlineStr">
        <is>
          <t>avverkningsanmälan</t>
        </is>
      </c>
      <c r="C117" t="inlineStr">
        <is>
          <t>Föryngringsavverkning</t>
        </is>
      </c>
      <c r="D117" s="1" t="n">
        <v>46106</v>
      </c>
      <c r="E117" s="1" t="n">
        <v>46317</v>
      </c>
      <c r="F117" t="inlineStr">
        <is>
          <t>VÄSTRA GÖTALANDS LÄN</t>
        </is>
      </c>
      <c r="G117" t="inlineStr">
        <is>
          <t>SKARA</t>
        </is>
      </c>
      <c r="H117" t="inlineStr">
        <is>
          <t>Sveaskog</t>
        </is>
      </c>
      <c r="I117" t="n">
        <v>2.8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t="n">
        <v>0</v>
      </c>
      <c r="S117" t="n">
        <v>0</v>
      </c>
      <c r="T117" t="n">
        <v>0</v>
      </c>
      <c r="U117" t="n">
        <v>0</v>
      </c>
      <c r="V117" s="2" t="inlineStr"/>
    </row>
    <row r="118" ht="15" customHeight="1">
      <c r="A118" t="inlineStr">
        <is>
          <t>A 59842-2022</t>
        </is>
      </c>
      <c r="B118" t="inlineStr">
        <is>
          <t>avverkningsanmälan</t>
        </is>
      </c>
      <c r="C118" t="inlineStr">
        <is>
          <t>Föryngringsavverkning</t>
        </is>
      </c>
      <c r="D118" s="1" t="n">
        <v>44908</v>
      </c>
      <c r="E118" s="1" t="n">
        <v>46317</v>
      </c>
      <c r="F118" t="inlineStr">
        <is>
          <t>VÄSTRA GÖTALANDS LÄN</t>
        </is>
      </c>
      <c r="G118" t="inlineStr">
        <is>
          <t>SKARA</t>
        </is>
      </c>
      <c r="I118" t="n">
        <v>3.5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t="n">
        <v>0</v>
      </c>
      <c r="S118" t="n">
        <v>0</v>
      </c>
      <c r="T118" t="n">
        <v>0</v>
      </c>
      <c r="U118" t="n">
        <v>0</v>
      </c>
      <c r="V118" s="2" t="inlineStr"/>
    </row>
    <row r="119" ht="15" customHeight="1">
      <c r="A119" t="inlineStr">
        <is>
          <t>A 16085-2026</t>
        </is>
      </c>
      <c r="B119" t="inlineStr">
        <is>
          <t>avverkningsanmälan</t>
        </is>
      </c>
      <c r="C119" t="inlineStr">
        <is>
          <t>Föryngringsavverkning</t>
        </is>
      </c>
      <c r="D119" s="1" t="n">
        <v>46108</v>
      </c>
      <c r="E119" s="1" t="n">
        <v>46317</v>
      </c>
      <c r="F119" t="inlineStr">
        <is>
          <t>VÄSTRA GÖTALANDS LÄN</t>
        </is>
      </c>
      <c r="G119" t="inlineStr">
        <is>
          <t>SKARA</t>
        </is>
      </c>
      <c r="I119" t="n">
        <v>4.2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t="n">
        <v>0</v>
      </c>
      <c r="S119" t="n">
        <v>0</v>
      </c>
      <c r="T119" t="n">
        <v>0</v>
      </c>
      <c r="U119" t="n">
        <v>0</v>
      </c>
      <c r="V119" s="2" t="inlineStr"/>
    </row>
    <row r="120" ht="15" customHeight="1">
      <c r="A120" t="inlineStr">
        <is>
          <t>A 16199-2026</t>
        </is>
      </c>
      <c r="B120" t="inlineStr">
        <is>
          <t>avverkningsanmälan</t>
        </is>
      </c>
      <c r="C120" t="inlineStr">
        <is>
          <t>Föryngringsavverkning</t>
        </is>
      </c>
      <c r="D120" s="1" t="n">
        <v>46111</v>
      </c>
      <c r="E120" s="1" t="n">
        <v>46317</v>
      </c>
      <c r="F120" t="inlineStr">
        <is>
          <t>VÄSTRA GÖTALANDS LÄN</t>
        </is>
      </c>
      <c r="G120" t="inlineStr">
        <is>
          <t>SKARA</t>
        </is>
      </c>
      <c r="I120" t="n">
        <v>3.9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t="n">
        <v>0</v>
      </c>
      <c r="S120" t="n">
        <v>0</v>
      </c>
      <c r="T120" t="n">
        <v>0</v>
      </c>
      <c r="U120" t="n">
        <v>0</v>
      </c>
      <c r="V120" s="2" t="inlineStr"/>
    </row>
    <row r="121" ht="15" customHeight="1">
      <c r="A121" t="inlineStr">
        <is>
          <t>A 16201-2026</t>
        </is>
      </c>
      <c r="B121" t="inlineStr">
        <is>
          <t>avverkningsanmälan</t>
        </is>
      </c>
      <c r="C121" t="inlineStr">
        <is>
          <t>Föryngringsavverkning</t>
        </is>
      </c>
      <c r="D121" s="1" t="n">
        <v>46111</v>
      </c>
      <c r="E121" s="1" t="n">
        <v>46317</v>
      </c>
      <c r="F121" t="inlineStr">
        <is>
          <t>VÄSTRA GÖTALANDS LÄN</t>
        </is>
      </c>
      <c r="G121" t="inlineStr">
        <is>
          <t>SKARA</t>
        </is>
      </c>
      <c r="I121" t="n">
        <v>2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t="n">
        <v>0</v>
      </c>
      <c r="S121" t="n">
        <v>0</v>
      </c>
      <c r="T121" t="n">
        <v>0</v>
      </c>
      <c r="U121" t="n">
        <v>0</v>
      </c>
      <c r="V121" s="2" t="inlineStr"/>
    </row>
    <row r="122" ht="15" customHeight="1">
      <c r="A122" t="inlineStr">
        <is>
          <t>A 16187-2026</t>
        </is>
      </c>
      <c r="B122" t="inlineStr">
        <is>
          <t>avverkningsanmälan</t>
        </is>
      </c>
      <c r="C122" t="inlineStr">
        <is>
          <t>Föryngringsavverkning</t>
        </is>
      </c>
      <c r="D122" s="1" t="n">
        <v>46111</v>
      </c>
      <c r="E122" s="1" t="n">
        <v>46317</v>
      </c>
      <c r="F122" t="inlineStr">
        <is>
          <t>VÄSTRA GÖTALANDS LÄN</t>
        </is>
      </c>
      <c r="G122" t="inlineStr">
        <is>
          <t>SKARA</t>
        </is>
      </c>
      <c r="I122" t="n">
        <v>1.3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t="n">
        <v>0</v>
      </c>
      <c r="S122" t="n">
        <v>0</v>
      </c>
      <c r="T122" t="n">
        <v>0</v>
      </c>
      <c r="U122" t="n">
        <v>0</v>
      </c>
      <c r="V122" s="2" t="inlineStr"/>
    </row>
    <row r="123" ht="15" customHeight="1">
      <c r="A123" t="inlineStr">
        <is>
          <t>A 16198-2026</t>
        </is>
      </c>
      <c r="B123" t="inlineStr">
        <is>
          <t>avverkningsanmälan</t>
        </is>
      </c>
      <c r="C123" t="inlineStr">
        <is>
          <t>Föryngringsavverkning</t>
        </is>
      </c>
      <c r="D123" s="1" t="n">
        <v>46111</v>
      </c>
      <c r="E123" s="1" t="n">
        <v>46317</v>
      </c>
      <c r="F123" t="inlineStr">
        <is>
          <t>VÄSTRA GÖTALANDS LÄN</t>
        </is>
      </c>
      <c r="G123" t="inlineStr">
        <is>
          <t>SKARA</t>
        </is>
      </c>
      <c r="I123" t="n">
        <v>3.2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t="n">
        <v>0</v>
      </c>
      <c r="S123" t="n">
        <v>0</v>
      </c>
      <c r="T123" t="n">
        <v>0</v>
      </c>
      <c r="U123" t="n">
        <v>0</v>
      </c>
      <c r="V123" s="2" t="inlineStr"/>
    </row>
    <row r="124" ht="15" customHeight="1">
      <c r="A124" t="inlineStr">
        <is>
          <t>A 16755-2026</t>
        </is>
      </c>
      <c r="B124" t="inlineStr">
        <is>
          <t>avverkningsanmälan</t>
        </is>
      </c>
      <c r="C124" t="inlineStr">
        <is>
          <t>Föryngringsavverkning</t>
        </is>
      </c>
      <c r="D124" s="1" t="n">
        <v>46113</v>
      </c>
      <c r="E124" s="1" t="n">
        <v>46317</v>
      </c>
      <c r="F124" t="inlineStr">
        <is>
          <t>VÄSTRA GÖTALANDS LÄN</t>
        </is>
      </c>
      <c r="G124" t="inlineStr">
        <is>
          <t>SKARA</t>
        </is>
      </c>
      <c r="H124" t="inlineStr">
        <is>
          <t>Sveaskog</t>
        </is>
      </c>
      <c r="I124" t="n">
        <v>4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t="n">
        <v>0</v>
      </c>
      <c r="S124" t="n">
        <v>0</v>
      </c>
      <c r="T124" t="n">
        <v>0</v>
      </c>
      <c r="U124" t="n">
        <v>0</v>
      </c>
      <c r="V124" s="2" t="inlineStr"/>
    </row>
    <row r="125" ht="15" customHeight="1">
      <c r="A125" t="inlineStr">
        <is>
          <t>A 30083-2023</t>
        </is>
      </c>
      <c r="B125" t="inlineStr">
        <is>
          <t>avverkningsanmälan</t>
        </is>
      </c>
      <c r="C125" t="inlineStr">
        <is>
          <t>Föryngringsavverkning</t>
        </is>
      </c>
      <c r="D125" s="1" t="n">
        <v>45110</v>
      </c>
      <c r="E125" s="1" t="n">
        <v>46317</v>
      </c>
      <c r="F125" t="inlineStr">
        <is>
          <t>VÄSTRA GÖTALANDS LÄN</t>
        </is>
      </c>
      <c r="G125" t="inlineStr">
        <is>
          <t>SKARA</t>
        </is>
      </c>
      <c r="I125" t="n">
        <v>0.5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t="n">
        <v>0</v>
      </c>
      <c r="S125" t="n">
        <v>0</v>
      </c>
      <c r="T125" t="n">
        <v>0</v>
      </c>
      <c r="U125" t="n">
        <v>0</v>
      </c>
      <c r="V125" s="2" t="inlineStr"/>
    </row>
    <row r="126" ht="15" customHeight="1">
      <c r="A126" t="inlineStr">
        <is>
          <t>A 36041-2023</t>
        </is>
      </c>
      <c r="B126" t="inlineStr">
        <is>
          <t>avverkningsanmälan</t>
        </is>
      </c>
      <c r="C126" t="inlineStr">
        <is>
          <t>Föryngringsavverkning</t>
        </is>
      </c>
      <c r="D126" s="1" t="n">
        <v>45149</v>
      </c>
      <c r="E126" s="1" t="n">
        <v>46317</v>
      </c>
      <c r="F126" t="inlineStr">
        <is>
          <t>VÄSTRA GÖTALANDS LÄN</t>
        </is>
      </c>
      <c r="G126" t="inlineStr">
        <is>
          <t>SKARA</t>
        </is>
      </c>
      <c r="I126" t="n">
        <v>3.1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t="n">
        <v>0</v>
      </c>
      <c r="S126" t="n">
        <v>0</v>
      </c>
      <c r="T126" t="n">
        <v>0</v>
      </c>
      <c r="U126" t="n">
        <v>0</v>
      </c>
      <c r="V126" s="2" t="inlineStr"/>
    </row>
    <row r="127" ht="15" customHeight="1">
      <c r="A127" t="inlineStr">
        <is>
          <t>A 36045-2023</t>
        </is>
      </c>
      <c r="B127" t="inlineStr">
        <is>
          <t>avverkningsanmälan</t>
        </is>
      </c>
      <c r="C127" t="inlineStr">
        <is>
          <t>Avverkning för annat ändamål</t>
        </is>
      </c>
      <c r="D127" s="1" t="n">
        <v>45149</v>
      </c>
      <c r="E127" s="1" t="n">
        <v>46317</v>
      </c>
      <c r="F127" t="inlineStr">
        <is>
          <t>VÄSTRA GÖTALANDS LÄN</t>
        </is>
      </c>
      <c r="G127" t="inlineStr">
        <is>
          <t>SKARA</t>
        </is>
      </c>
      <c r="I127" t="n">
        <v>0.4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t="n">
        <v>0</v>
      </c>
      <c r="S127" t="n">
        <v>0</v>
      </c>
      <c r="T127" t="n">
        <v>0</v>
      </c>
      <c r="U127" t="n">
        <v>0</v>
      </c>
      <c r="V127" s="2" t="inlineStr"/>
    </row>
    <row r="128" ht="15" customHeight="1">
      <c r="A128" t="inlineStr">
        <is>
          <t>A 17288-2026</t>
        </is>
      </c>
      <c r="B128" t="inlineStr">
        <is>
          <t>avverkningsanmälan</t>
        </is>
      </c>
      <c r="C128" t="inlineStr">
        <is>
          <t>Föryngringsavverkning</t>
        </is>
      </c>
      <c r="D128" s="1" t="n">
        <v>46119</v>
      </c>
      <c r="E128" s="1" t="n">
        <v>46317</v>
      </c>
      <c r="F128" t="inlineStr">
        <is>
          <t>VÄSTRA GÖTALANDS LÄN</t>
        </is>
      </c>
      <c r="G128" t="inlineStr">
        <is>
          <t>SKARA</t>
        </is>
      </c>
      <c r="I128" t="n">
        <v>1.5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t="n">
        <v>0</v>
      </c>
      <c r="S128" t="n">
        <v>0</v>
      </c>
      <c r="T128" t="n">
        <v>0</v>
      </c>
      <c r="U128" t="n">
        <v>0</v>
      </c>
      <c r="V128" s="2" t="inlineStr"/>
    </row>
    <row r="129" ht="15" customHeight="1">
      <c r="A129" t="inlineStr">
        <is>
          <t>A 30019-2023</t>
        </is>
      </c>
      <c r="B129" t="inlineStr">
        <is>
          <t>avverkningsanmälan</t>
        </is>
      </c>
      <c r="C129" t="inlineStr">
        <is>
          <t>Avverkning för annat ändamål</t>
        </is>
      </c>
      <c r="D129" s="1" t="n">
        <v>45109</v>
      </c>
      <c r="E129" s="1" t="n">
        <v>46317</v>
      </c>
      <c r="F129" t="inlineStr">
        <is>
          <t>VÄSTRA GÖTALANDS LÄN</t>
        </is>
      </c>
      <c r="G129" t="inlineStr">
        <is>
          <t>SKARA</t>
        </is>
      </c>
      <c r="I129" t="n">
        <v>1.2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t="n">
        <v>0</v>
      </c>
      <c r="S129" t="n">
        <v>0</v>
      </c>
      <c r="T129" t="n">
        <v>0</v>
      </c>
      <c r="U129" t="n">
        <v>0</v>
      </c>
      <c r="V129" s="2" t="inlineStr"/>
    </row>
    <row r="130" ht="15" customHeight="1">
      <c r="A130" t="inlineStr">
        <is>
          <t>A 37036-2024</t>
        </is>
      </c>
      <c r="B130" t="inlineStr">
        <is>
          <t>avverkningsanmälan</t>
        </is>
      </c>
      <c r="C130" t="inlineStr">
        <is>
          <t>Föryngringsavverkning</t>
        </is>
      </c>
      <c r="D130" s="1" t="n">
        <v>45539</v>
      </c>
      <c r="E130" s="1" t="n">
        <v>46317</v>
      </c>
      <c r="F130" t="inlineStr">
        <is>
          <t>VÄSTRA GÖTALANDS LÄN</t>
        </is>
      </c>
      <c r="G130" t="inlineStr">
        <is>
          <t>SKARA</t>
        </is>
      </c>
      <c r="H130" t="inlineStr">
        <is>
          <t>Sveaskog</t>
        </is>
      </c>
      <c r="I130" t="n">
        <v>8.199999999999999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t="n">
        <v>0</v>
      </c>
      <c r="S130" t="n">
        <v>0</v>
      </c>
      <c r="T130" t="n">
        <v>0</v>
      </c>
      <c r="U130" t="n">
        <v>0</v>
      </c>
      <c r="V130" s="2" t="inlineStr"/>
    </row>
    <row r="131" ht="15" customHeight="1">
      <c r="A131" t="inlineStr">
        <is>
          <t>A 30069-2023</t>
        </is>
      </c>
      <c r="B131" t="inlineStr">
        <is>
          <t>avverkningsanmälan</t>
        </is>
      </c>
      <c r="C131" t="inlineStr">
        <is>
          <t>Föryngringsavverkning</t>
        </is>
      </c>
      <c r="D131" s="1" t="n">
        <v>45110</v>
      </c>
      <c r="E131" s="1" t="n">
        <v>46317</v>
      </c>
      <c r="F131" t="inlineStr">
        <is>
          <t>VÄSTRA GÖTALANDS LÄN</t>
        </is>
      </c>
      <c r="G131" t="inlineStr">
        <is>
          <t>SKARA</t>
        </is>
      </c>
      <c r="I131" t="n">
        <v>1.3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t="n">
        <v>0</v>
      </c>
      <c r="S131" t="n">
        <v>0</v>
      </c>
      <c r="T131" t="n">
        <v>0</v>
      </c>
      <c r="U131" t="n">
        <v>0</v>
      </c>
      <c r="V131" s="2" t="inlineStr"/>
    </row>
    <row r="132" ht="15" customHeight="1">
      <c r="A132" t="inlineStr">
        <is>
          <t>A 30079-2023</t>
        </is>
      </c>
      <c r="B132" t="inlineStr">
        <is>
          <t>avverkningsanmälan</t>
        </is>
      </c>
      <c r="C132" t="inlineStr">
        <is>
          <t>Föryngringsavverkning</t>
        </is>
      </c>
      <c r="D132" s="1" t="n">
        <v>45110</v>
      </c>
      <c r="E132" s="1" t="n">
        <v>46317</v>
      </c>
      <c r="F132" t="inlineStr">
        <is>
          <t>VÄSTRA GÖTALANDS LÄN</t>
        </is>
      </c>
      <c r="G132" t="inlineStr">
        <is>
          <t>SKARA</t>
        </is>
      </c>
      <c r="I132" t="n">
        <v>0.7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t="n">
        <v>0</v>
      </c>
      <c r="S132" t="n">
        <v>0</v>
      </c>
      <c r="T132" t="n">
        <v>0</v>
      </c>
      <c r="U132" t="n">
        <v>0</v>
      </c>
      <c r="V132" s="2" t="inlineStr"/>
    </row>
    <row r="133" ht="15" customHeight="1">
      <c r="A133" t="inlineStr">
        <is>
          <t>A 30479-2023</t>
        </is>
      </c>
      <c r="B133" t="inlineStr">
        <is>
          <t>avverkningsanmälan</t>
        </is>
      </c>
      <c r="C133" t="inlineStr">
        <is>
          <t>Föryngringsavverkning</t>
        </is>
      </c>
      <c r="D133" s="1" t="n">
        <v>45111</v>
      </c>
      <c r="E133" s="1" t="n">
        <v>46317</v>
      </c>
      <c r="F133" t="inlineStr">
        <is>
          <t>VÄSTRA GÖTALANDS LÄN</t>
        </is>
      </c>
      <c r="G133" t="inlineStr">
        <is>
          <t>SKARA</t>
        </is>
      </c>
      <c r="I133" t="n">
        <v>0.5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t="n">
        <v>0</v>
      </c>
      <c r="S133" t="n">
        <v>0</v>
      </c>
      <c r="T133" t="n">
        <v>0</v>
      </c>
      <c r="U133" t="n">
        <v>0</v>
      </c>
      <c r="V133" s="2" t="inlineStr"/>
    </row>
    <row r="134" ht="15" customHeight="1">
      <c r="A134" t="inlineStr">
        <is>
          <t>A 18890-2026</t>
        </is>
      </c>
      <c r="B134" t="inlineStr">
        <is>
          <t>avverkningsanmälan</t>
        </is>
      </c>
      <c r="C134" t="inlineStr">
        <is>
          <t>Föryngringsavverkning</t>
        </is>
      </c>
      <c r="D134" s="1" t="n">
        <v>46129</v>
      </c>
      <c r="E134" s="1" t="n">
        <v>46317</v>
      </c>
      <c r="F134" t="inlineStr">
        <is>
          <t>VÄSTRA GÖTALANDS LÄN</t>
        </is>
      </c>
      <c r="G134" t="inlineStr">
        <is>
          <t>SKARA</t>
        </is>
      </c>
      <c r="H134" t="inlineStr">
        <is>
          <t>Sveaskog</t>
        </is>
      </c>
      <c r="I134" t="n">
        <v>3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t="n">
        <v>0</v>
      </c>
      <c r="S134" t="n">
        <v>0</v>
      </c>
      <c r="T134" t="n">
        <v>0</v>
      </c>
      <c r="U134" t="n">
        <v>0</v>
      </c>
      <c r="V134" s="2" t="inlineStr"/>
    </row>
    <row r="135" ht="15" customHeight="1">
      <c r="A135" t="inlineStr">
        <is>
          <t>A 38548-2025</t>
        </is>
      </c>
      <c r="B135" t="inlineStr">
        <is>
          <t>avverkningsanmälan</t>
        </is>
      </c>
      <c r="C135" t="inlineStr">
        <is>
          <t>Föryngringsavverkning</t>
        </is>
      </c>
      <c r="D135" s="1" t="n">
        <v>45883</v>
      </c>
      <c r="E135" s="1" t="n">
        <v>46317</v>
      </c>
      <c r="F135" t="inlineStr">
        <is>
          <t>VÄSTRA GÖTALANDS LÄN</t>
        </is>
      </c>
      <c r="G135" t="inlineStr">
        <is>
          <t>SKARA</t>
        </is>
      </c>
      <c r="I135" t="n">
        <v>4.9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t="n">
        <v>0</v>
      </c>
      <c r="S135" t="n">
        <v>0</v>
      </c>
      <c r="T135" t="n">
        <v>0</v>
      </c>
      <c r="U135" t="n">
        <v>0</v>
      </c>
      <c r="V135" s="2" t="inlineStr"/>
    </row>
    <row r="136" ht="15" customHeight="1">
      <c r="A136" t="inlineStr">
        <is>
          <t>A 18606-2025</t>
        </is>
      </c>
      <c r="B136" t="inlineStr">
        <is>
          <t>avverkningsanmälan</t>
        </is>
      </c>
      <c r="C136" t="inlineStr">
        <is>
          <t>Föryngringsavverkning</t>
        </is>
      </c>
      <c r="D136" s="1" t="n">
        <v>45763</v>
      </c>
      <c r="E136" s="1" t="n">
        <v>46317</v>
      </c>
      <c r="F136" t="inlineStr">
        <is>
          <t>VÄSTRA GÖTALANDS LÄN</t>
        </is>
      </c>
      <c r="G136" t="inlineStr">
        <is>
          <t>SKARA</t>
        </is>
      </c>
      <c r="I136" t="n">
        <v>2.9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t="n">
        <v>0</v>
      </c>
      <c r="S136" t="n">
        <v>0</v>
      </c>
      <c r="T136" t="n">
        <v>0</v>
      </c>
      <c r="U136" t="n">
        <v>0</v>
      </c>
      <c r="V136" s="2" t="inlineStr"/>
    </row>
    <row r="137" ht="15" customHeight="1">
      <c r="A137" t="inlineStr">
        <is>
          <t>A 2110-2024</t>
        </is>
      </c>
      <c r="B137" t="inlineStr">
        <is>
          <t>avverkningsanmälan</t>
        </is>
      </c>
      <c r="C137" t="inlineStr">
        <is>
          <t>Föryngringsavverkning</t>
        </is>
      </c>
      <c r="D137" s="1" t="n">
        <v>45309</v>
      </c>
      <c r="E137" s="1" t="n">
        <v>46317</v>
      </c>
      <c r="F137" t="inlineStr">
        <is>
          <t>VÄSTRA GÖTALANDS LÄN</t>
        </is>
      </c>
      <c r="G137" t="inlineStr">
        <is>
          <t>SKARA</t>
        </is>
      </c>
      <c r="I137" t="n">
        <v>4.2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t="n">
        <v>0</v>
      </c>
      <c r="S137" t="n">
        <v>0</v>
      </c>
      <c r="T137" t="n">
        <v>0</v>
      </c>
      <c r="U137" t="n">
        <v>0</v>
      </c>
      <c r="V137" s="2" t="inlineStr"/>
    </row>
    <row r="138" ht="15" customHeight="1">
      <c r="A138" t="inlineStr">
        <is>
          <t>A 30513-2024</t>
        </is>
      </c>
      <c r="B138" t="inlineStr">
        <is>
          <t>avverkningsanmälan</t>
        </is>
      </c>
      <c r="C138" t="inlineStr">
        <is>
          <t>Föryngringsavverkning</t>
        </is>
      </c>
      <c r="D138" s="1" t="n">
        <v>45492</v>
      </c>
      <c r="E138" s="1" t="n">
        <v>46317</v>
      </c>
      <c r="F138" t="inlineStr">
        <is>
          <t>VÄSTRA GÖTALANDS LÄN</t>
        </is>
      </c>
      <c r="G138" t="inlineStr">
        <is>
          <t>SKARA</t>
        </is>
      </c>
      <c r="I138" t="n">
        <v>2.9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t="n">
        <v>0</v>
      </c>
      <c r="S138" t="n">
        <v>0</v>
      </c>
      <c r="T138" t="n">
        <v>0</v>
      </c>
      <c r="U138" t="n">
        <v>0</v>
      </c>
      <c r="V138" s="2" t="inlineStr"/>
    </row>
    <row r="139" ht="15" customHeight="1">
      <c r="A139" t="inlineStr">
        <is>
          <t>A 27265-2023</t>
        </is>
      </c>
      <c r="B139" t="inlineStr">
        <is>
          <t>avverkningsanmälan</t>
        </is>
      </c>
      <c r="C139" t="inlineStr">
        <is>
          <t>Föryngringsavverkning</t>
        </is>
      </c>
      <c r="D139" s="1" t="n">
        <v>45096</v>
      </c>
      <c r="E139" s="1" t="n">
        <v>46317</v>
      </c>
      <c r="F139" t="inlineStr">
        <is>
          <t>VÄSTRA GÖTALANDS LÄN</t>
        </is>
      </c>
      <c r="G139" t="inlineStr">
        <is>
          <t>SKARA</t>
        </is>
      </c>
      <c r="I139" t="n">
        <v>3.7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t="n">
        <v>0</v>
      </c>
      <c r="S139" t="n">
        <v>0</v>
      </c>
      <c r="T139" t="n">
        <v>0</v>
      </c>
      <c r="U139" t="n">
        <v>0</v>
      </c>
      <c r="V139" s="2" t="inlineStr"/>
    </row>
    <row r="140" ht="15" customHeight="1">
      <c r="A140" t="inlineStr">
        <is>
          <t>A 25407-2025</t>
        </is>
      </c>
      <c r="B140" t="inlineStr">
        <is>
          <t>avverkningsanmälan</t>
        </is>
      </c>
      <c r="C140" t="inlineStr">
        <is>
          <t>Föryngringsavverkning</t>
        </is>
      </c>
      <c r="D140" s="1" t="n">
        <v>45800</v>
      </c>
      <c r="E140" s="1" t="n">
        <v>46317</v>
      </c>
      <c r="F140" t="inlineStr">
        <is>
          <t>VÄSTRA GÖTALANDS LÄN</t>
        </is>
      </c>
      <c r="G140" t="inlineStr">
        <is>
          <t>SKARA</t>
        </is>
      </c>
      <c r="I140" t="n">
        <v>2.1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t="n">
        <v>0</v>
      </c>
      <c r="S140" t="n">
        <v>0</v>
      </c>
      <c r="T140" t="n">
        <v>0</v>
      </c>
      <c r="U140" t="n">
        <v>0</v>
      </c>
      <c r="V140" s="2" t="inlineStr"/>
    </row>
    <row r="141" ht="15" customHeight="1">
      <c r="A141" t="inlineStr">
        <is>
          <t>A 41602-2023</t>
        </is>
      </c>
      <c r="B141" t="inlineStr">
        <is>
          <t>avverkningsanmälan</t>
        </is>
      </c>
      <c r="C141" t="inlineStr">
        <is>
          <t>Föryngringsavverkning</t>
        </is>
      </c>
      <c r="D141" s="1" t="n">
        <v>45175</v>
      </c>
      <c r="E141" s="1" t="n">
        <v>46317</v>
      </c>
      <c r="F141" t="inlineStr">
        <is>
          <t>VÄSTRA GÖTALANDS LÄN</t>
        </is>
      </c>
      <c r="G141" t="inlineStr">
        <is>
          <t>SKARA</t>
        </is>
      </c>
      <c r="H141" t="inlineStr">
        <is>
          <t>Kommuner</t>
        </is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t="n">
        <v>0</v>
      </c>
      <c r="S141" t="n">
        <v>0</v>
      </c>
      <c r="T141" t="n">
        <v>0</v>
      </c>
      <c r="U141" t="n">
        <v>0</v>
      </c>
      <c r="V141" s="2" t="inlineStr"/>
    </row>
    <row r="142" ht="15" customHeight="1">
      <c r="A142" t="inlineStr">
        <is>
          <t>A 15927-2023</t>
        </is>
      </c>
      <c r="B142" t="inlineStr">
        <is>
          <t>avverkningsanmälan</t>
        </is>
      </c>
      <c r="C142" t="inlineStr">
        <is>
          <t>Föryngringsavverkning</t>
        </is>
      </c>
      <c r="D142" s="1" t="n">
        <v>45022</v>
      </c>
      <c r="E142" s="1" t="n">
        <v>46317</v>
      </c>
      <c r="F142" t="inlineStr">
        <is>
          <t>VÄSTRA GÖTALANDS LÄN</t>
        </is>
      </c>
      <c r="G142" t="inlineStr">
        <is>
          <t>SKARA</t>
        </is>
      </c>
      <c r="I142" t="n">
        <v>1.9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t="n">
        <v>0</v>
      </c>
      <c r="S142" t="n">
        <v>0</v>
      </c>
      <c r="T142" t="n">
        <v>0</v>
      </c>
      <c r="U142" t="n">
        <v>0</v>
      </c>
      <c r="V142" s="2" t="inlineStr"/>
    </row>
    <row r="143" ht="15" customHeight="1">
      <c r="A143" t="inlineStr">
        <is>
          <t>A 25153-2024</t>
        </is>
      </c>
      <c r="B143" t="inlineStr">
        <is>
          <t>avverkningsanmälan</t>
        </is>
      </c>
      <c r="C143" t="inlineStr">
        <is>
          <t>Föryngringsavverkning</t>
        </is>
      </c>
      <c r="D143" s="1" t="n">
        <v>45462</v>
      </c>
      <c r="E143" s="1" t="n">
        <v>46317</v>
      </c>
      <c r="F143" t="inlineStr">
        <is>
          <t>VÄSTRA GÖTALANDS LÄN</t>
        </is>
      </c>
      <c r="G143" t="inlineStr">
        <is>
          <t>SKARA</t>
        </is>
      </c>
      <c r="I143" t="n">
        <v>0.8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t="n">
        <v>0</v>
      </c>
      <c r="S143" t="n">
        <v>0</v>
      </c>
      <c r="T143" t="n">
        <v>0</v>
      </c>
      <c r="U143" t="n">
        <v>0</v>
      </c>
      <c r="V143" s="2" t="inlineStr"/>
    </row>
    <row r="144" ht="15" customHeight="1">
      <c r="A144" t="inlineStr">
        <is>
          <t>A 26480-2024</t>
        </is>
      </c>
      <c r="B144" t="inlineStr">
        <is>
          <t>avverkningsanmälan</t>
        </is>
      </c>
      <c r="C144" t="inlineStr">
        <is>
          <t>Föryngringsavverkning</t>
        </is>
      </c>
      <c r="D144" s="1" t="n">
        <v>45469</v>
      </c>
      <c r="E144" s="1" t="n">
        <v>46317</v>
      </c>
      <c r="F144" t="inlineStr">
        <is>
          <t>VÄSTRA GÖTALANDS LÄN</t>
        </is>
      </c>
      <c r="G144" t="inlineStr">
        <is>
          <t>SKARA</t>
        </is>
      </c>
      <c r="I144" t="n">
        <v>0.7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t="n">
        <v>0</v>
      </c>
      <c r="S144" t="n">
        <v>0</v>
      </c>
      <c r="T144" t="n">
        <v>0</v>
      </c>
      <c r="U144" t="n">
        <v>0</v>
      </c>
      <c r="V144" s="2" t="inlineStr"/>
    </row>
    <row r="145" ht="15" customHeight="1">
      <c r="A145" t="inlineStr">
        <is>
          <t>A 26482-2024</t>
        </is>
      </c>
      <c r="B145" t="inlineStr">
        <is>
          <t>avverkningsanmälan</t>
        </is>
      </c>
      <c r="C145" t="inlineStr">
        <is>
          <t>Föryngringsavverkning</t>
        </is>
      </c>
      <c r="D145" s="1" t="n">
        <v>45469</v>
      </c>
      <c r="E145" s="1" t="n">
        <v>46317</v>
      </c>
      <c r="F145" t="inlineStr">
        <is>
          <t>VÄSTRA GÖTALANDS LÄN</t>
        </is>
      </c>
      <c r="G145" t="inlineStr">
        <is>
          <t>SKARA</t>
        </is>
      </c>
      <c r="I145" t="n">
        <v>3.2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t="n">
        <v>0</v>
      </c>
      <c r="S145" t="n">
        <v>0</v>
      </c>
      <c r="T145" t="n">
        <v>0</v>
      </c>
      <c r="U145" t="n">
        <v>0</v>
      </c>
      <c r="V145" s="2" t="inlineStr"/>
    </row>
    <row r="146" ht="15" customHeight="1">
      <c r="A146" t="inlineStr">
        <is>
          <t>A 9117-2025</t>
        </is>
      </c>
      <c r="B146" t="inlineStr">
        <is>
          <t>avverkningsanmälan</t>
        </is>
      </c>
      <c r="C146" t="inlineStr">
        <is>
          <t>Föryngringsavverkning</t>
        </is>
      </c>
      <c r="D146" s="1" t="n">
        <v>45713</v>
      </c>
      <c r="E146" s="1" t="n">
        <v>46317</v>
      </c>
      <c r="F146" t="inlineStr">
        <is>
          <t>VÄSTRA GÖTALANDS LÄN</t>
        </is>
      </c>
      <c r="G146" t="inlineStr">
        <is>
          <t>SKARA</t>
        </is>
      </c>
      <c r="I146" t="n">
        <v>2.3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t="n">
        <v>0</v>
      </c>
      <c r="S146" t="n">
        <v>0</v>
      </c>
      <c r="T146" t="n">
        <v>0</v>
      </c>
      <c r="U146" t="n">
        <v>0</v>
      </c>
      <c r="V146" s="2" t="inlineStr"/>
    </row>
    <row r="147" ht="15" customHeight="1">
      <c r="A147" t="inlineStr">
        <is>
          <t>A 46185-2023</t>
        </is>
      </c>
      <c r="B147" t="inlineStr">
        <is>
          <t>avverkningsanmälan</t>
        </is>
      </c>
      <c r="C147" t="inlineStr">
        <is>
          <t>Föryngringsavverkning</t>
        </is>
      </c>
      <c r="D147" s="1" t="n">
        <v>45196</v>
      </c>
      <c r="E147" s="1" t="n">
        <v>46317</v>
      </c>
      <c r="F147" t="inlineStr">
        <is>
          <t>VÄSTRA GÖTALANDS LÄN</t>
        </is>
      </c>
      <c r="G147" t="inlineStr">
        <is>
          <t>SKARA</t>
        </is>
      </c>
      <c r="I147" t="n">
        <v>0.9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t="n">
        <v>0</v>
      </c>
      <c r="S147" t="n">
        <v>0</v>
      </c>
      <c r="T147" t="n">
        <v>0</v>
      </c>
      <c r="U147" t="n">
        <v>0</v>
      </c>
      <c r="V147" s="2" t="inlineStr"/>
    </row>
    <row r="148" ht="15" customHeight="1">
      <c r="A148" t="inlineStr">
        <is>
          <t>A 45159-2022</t>
        </is>
      </c>
      <c r="B148" t="inlineStr">
        <is>
          <t>avverkningsanmälan</t>
        </is>
      </c>
      <c r="C148" t="inlineStr">
        <is>
          <t>Föryngringsavverkning</t>
        </is>
      </c>
      <c r="D148" s="1" t="n">
        <v>44844</v>
      </c>
      <c r="E148" s="1" t="n">
        <v>46317</v>
      </c>
      <c r="F148" t="inlineStr">
        <is>
          <t>VÄSTRA GÖTALANDS LÄN</t>
        </is>
      </c>
      <c r="G148" t="inlineStr">
        <is>
          <t>SKARA</t>
        </is>
      </c>
      <c r="I148" t="n">
        <v>1.1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t="n">
        <v>0</v>
      </c>
      <c r="S148" t="n">
        <v>0</v>
      </c>
      <c r="T148" t="n">
        <v>0</v>
      </c>
      <c r="U148" t="n">
        <v>0</v>
      </c>
      <c r="V148" s="2" t="inlineStr"/>
    </row>
    <row r="149" ht="15" customHeight="1">
      <c r="A149" t="inlineStr">
        <is>
          <t>A 26084-2023</t>
        </is>
      </c>
      <c r="B149" t="inlineStr">
        <is>
          <t>avverkningsanmälan</t>
        </is>
      </c>
      <c r="C149" t="inlineStr">
        <is>
          <t>Föryngringsavverkning</t>
        </is>
      </c>
      <c r="D149" s="1" t="n">
        <v>45091</v>
      </c>
      <c r="E149" s="1" t="n">
        <v>46317</v>
      </c>
      <c r="F149" t="inlineStr">
        <is>
          <t>VÄSTRA GÖTALANDS LÄN</t>
        </is>
      </c>
      <c r="G149" t="inlineStr">
        <is>
          <t>SKARA</t>
        </is>
      </c>
      <c r="I149" t="n">
        <v>0.6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t="n">
        <v>0</v>
      </c>
      <c r="S149" t="n">
        <v>0</v>
      </c>
      <c r="T149" t="n">
        <v>0</v>
      </c>
      <c r="U149" t="n">
        <v>0</v>
      </c>
      <c r="V149" s="2" t="inlineStr"/>
    </row>
    <row r="150" ht="15" customHeight="1">
      <c r="A150" t="inlineStr">
        <is>
          <t>A 18017-2024</t>
        </is>
      </c>
      <c r="B150" t="inlineStr">
        <is>
          <t>avverkningsanmälan</t>
        </is>
      </c>
      <c r="C150" t="inlineStr">
        <is>
          <t>Föryngringsavverkning</t>
        </is>
      </c>
      <c r="D150" s="1" t="n">
        <v>45420</v>
      </c>
      <c r="E150" s="1" t="n">
        <v>46317</v>
      </c>
      <c r="F150" t="inlineStr">
        <is>
          <t>VÄSTRA GÖTALANDS LÄN</t>
        </is>
      </c>
      <c r="G150" t="inlineStr">
        <is>
          <t>SKARA</t>
        </is>
      </c>
      <c r="H150" t="inlineStr">
        <is>
          <t>Sveaskog</t>
        </is>
      </c>
      <c r="I150" t="n">
        <v>4.6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t="n">
        <v>0</v>
      </c>
      <c r="S150" t="n">
        <v>0</v>
      </c>
      <c r="T150" t="n">
        <v>0</v>
      </c>
      <c r="U150" t="n">
        <v>0</v>
      </c>
      <c r="V150" s="2" t="inlineStr"/>
    </row>
    <row r="151" ht="15" customHeight="1">
      <c r="A151" t="inlineStr">
        <is>
          <t>A 23457-2026</t>
        </is>
      </c>
      <c r="B151" t="inlineStr">
        <is>
          <t>avverkningsanmälan</t>
        </is>
      </c>
      <c r="C151" t="inlineStr">
        <is>
          <t>Föryngringsavverkning</t>
        </is>
      </c>
      <c r="D151" s="1" t="n">
        <v>46163</v>
      </c>
      <c r="E151" s="1" t="n">
        <v>46317</v>
      </c>
      <c r="F151" t="inlineStr">
        <is>
          <t>VÄSTRA GÖTALANDS LÄN</t>
        </is>
      </c>
      <c r="G151" t="inlineStr">
        <is>
          <t>SKARA</t>
        </is>
      </c>
      <c r="H151" t="inlineStr">
        <is>
          <t>Sveaskog</t>
        </is>
      </c>
      <c r="I151" t="n">
        <v>1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t="n">
        <v>0</v>
      </c>
      <c r="S151" t="n">
        <v>0</v>
      </c>
      <c r="T151" t="n">
        <v>0</v>
      </c>
      <c r="U151" t="n">
        <v>0</v>
      </c>
      <c r="V151" s="2" t="inlineStr"/>
    </row>
    <row r="152" ht="15" customHeight="1">
      <c r="A152" t="inlineStr">
        <is>
          <t>A 23452-2026</t>
        </is>
      </c>
      <c r="B152" t="inlineStr">
        <is>
          <t>avverkningsanmälan</t>
        </is>
      </c>
      <c r="C152" t="inlineStr">
        <is>
          <t>Föryngringsavverkning</t>
        </is>
      </c>
      <c r="D152" s="1" t="n">
        <v>46163</v>
      </c>
      <c r="E152" s="1" t="n">
        <v>46317</v>
      </c>
      <c r="F152" t="inlineStr">
        <is>
          <t>VÄSTRA GÖTALANDS LÄN</t>
        </is>
      </c>
      <c r="G152" t="inlineStr">
        <is>
          <t>SKARA</t>
        </is>
      </c>
      <c r="H152" t="inlineStr">
        <is>
          <t>Sveaskog</t>
        </is>
      </c>
      <c r="I152" t="n">
        <v>4.7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t="n">
        <v>0</v>
      </c>
      <c r="S152" t="n">
        <v>0</v>
      </c>
      <c r="T152" t="n">
        <v>0</v>
      </c>
      <c r="U152" t="n">
        <v>0</v>
      </c>
      <c r="V152" s="2" t="inlineStr"/>
    </row>
    <row r="153" ht="15" customHeight="1">
      <c r="A153" t="inlineStr">
        <is>
          <t>A 24142-2026</t>
        </is>
      </c>
      <c r="B153" t="inlineStr">
        <is>
          <t>avverkningsanmälan</t>
        </is>
      </c>
      <c r="C153" t="inlineStr">
        <is>
          <t>Föryngringsavverkning</t>
        </is>
      </c>
      <c r="D153" s="1" t="n">
        <v>46168</v>
      </c>
      <c r="E153" s="1" t="n">
        <v>46317</v>
      </c>
      <c r="F153" t="inlineStr">
        <is>
          <t>VÄSTRA GÖTALANDS LÄN</t>
        </is>
      </c>
      <c r="G153" t="inlineStr">
        <is>
          <t>SKARA</t>
        </is>
      </c>
      <c r="I153" t="n">
        <v>2.4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t="n">
        <v>0</v>
      </c>
      <c r="S153" t="n">
        <v>0</v>
      </c>
      <c r="T153" t="n">
        <v>0</v>
      </c>
      <c r="U153" t="n">
        <v>0</v>
      </c>
      <c r="V153" s="2" t="inlineStr"/>
    </row>
    <row r="154" ht="15" customHeight="1">
      <c r="A154" t="inlineStr">
        <is>
          <t>A 24143-2026</t>
        </is>
      </c>
      <c r="B154" t="inlineStr">
        <is>
          <t>avverkningsanmälan</t>
        </is>
      </c>
      <c r="C154" t="inlineStr">
        <is>
          <t>Föryngringsavverkning</t>
        </is>
      </c>
      <c r="D154" s="1" t="n">
        <v>46168</v>
      </c>
      <c r="E154" s="1" t="n">
        <v>46317</v>
      </c>
      <c r="F154" t="inlineStr">
        <is>
          <t>VÄSTRA GÖTALANDS LÄN</t>
        </is>
      </c>
      <c r="G154" t="inlineStr">
        <is>
          <t>SKARA</t>
        </is>
      </c>
      <c r="I154" t="n">
        <v>1.9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t="n">
        <v>0</v>
      </c>
      <c r="S154" t="n">
        <v>0</v>
      </c>
      <c r="T154" t="n">
        <v>0</v>
      </c>
      <c r="U154" t="n">
        <v>0</v>
      </c>
      <c r="V154" s="2" t="inlineStr"/>
    </row>
    <row r="155" ht="15" customHeight="1">
      <c r="A155" t="inlineStr">
        <is>
          <t>A 24145-2026</t>
        </is>
      </c>
      <c r="B155" t="inlineStr">
        <is>
          <t>avverkningsanmälan</t>
        </is>
      </c>
      <c r="C155" t="inlineStr">
        <is>
          <t>Föryngringsavverkning</t>
        </is>
      </c>
      <c r="D155" s="1" t="n">
        <v>46168</v>
      </c>
      <c r="E155" s="1" t="n">
        <v>46317</v>
      </c>
      <c r="F155" t="inlineStr">
        <is>
          <t>VÄSTRA GÖTALANDS LÄN</t>
        </is>
      </c>
      <c r="G155" t="inlineStr">
        <is>
          <t>SKARA</t>
        </is>
      </c>
      <c r="I155" t="n">
        <v>1.2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t="n">
        <v>0</v>
      </c>
      <c r="S155" t="n">
        <v>0</v>
      </c>
      <c r="T155" t="n">
        <v>0</v>
      </c>
      <c r="U155" t="n">
        <v>0</v>
      </c>
      <c r="V155" s="2" t="inlineStr"/>
    </row>
    <row r="156" ht="15" customHeight="1">
      <c r="A156" t="inlineStr">
        <is>
          <t>A 20870-2022</t>
        </is>
      </c>
      <c r="B156" t="inlineStr">
        <is>
          <t>avverkningsanmälan</t>
        </is>
      </c>
      <c r="C156" t="inlineStr">
        <is>
          <t>Föryngringsavverkning</t>
        </is>
      </c>
      <c r="D156" s="1" t="n">
        <v>44701</v>
      </c>
      <c r="E156" s="1" t="n">
        <v>46317</v>
      </c>
      <c r="F156" t="inlineStr">
        <is>
          <t>VÄSTRA GÖTALANDS LÄN</t>
        </is>
      </c>
      <c r="G156" t="inlineStr">
        <is>
          <t>SKARA</t>
        </is>
      </c>
      <c r="I156" t="n">
        <v>2.5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t="n">
        <v>0</v>
      </c>
      <c r="S156" t="n">
        <v>0</v>
      </c>
      <c r="T156" t="n">
        <v>0</v>
      </c>
      <c r="U156" t="n">
        <v>0</v>
      </c>
      <c r="V156" s="2" t="inlineStr"/>
    </row>
    <row r="157" ht="15" customHeight="1">
      <c r="A157" t="inlineStr">
        <is>
          <t>A 20098-2022</t>
        </is>
      </c>
      <c r="B157" t="inlineStr">
        <is>
          <t>avverkningsanmälan</t>
        </is>
      </c>
      <c r="C157" t="inlineStr">
        <is>
          <t>Föryngringsavverkning</t>
        </is>
      </c>
      <c r="D157" s="1" t="n">
        <v>44698</v>
      </c>
      <c r="E157" s="1" t="n">
        <v>46317</v>
      </c>
      <c r="F157" t="inlineStr">
        <is>
          <t>VÄSTRA GÖTALANDS LÄN</t>
        </is>
      </c>
      <c r="G157" t="inlineStr">
        <is>
          <t>SKARA</t>
        </is>
      </c>
      <c r="I157" t="n">
        <v>1.8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t="n">
        <v>0</v>
      </c>
      <c r="S157" t="n">
        <v>0</v>
      </c>
      <c r="T157" t="n">
        <v>0</v>
      </c>
      <c r="U157" t="n">
        <v>0</v>
      </c>
      <c r="V157" s="2" t="inlineStr"/>
    </row>
    <row r="158" ht="15" customHeight="1">
      <c r="A158" t="inlineStr">
        <is>
          <t>A 516-2024</t>
        </is>
      </c>
      <c r="B158" t="inlineStr">
        <is>
          <t>avverkningsanmälan</t>
        </is>
      </c>
      <c r="C158" t="inlineStr">
        <is>
          <t>Föryngringsavverkning</t>
        </is>
      </c>
      <c r="D158" s="1" t="n">
        <v>45299</v>
      </c>
      <c r="E158" s="1" t="n">
        <v>46317</v>
      </c>
      <c r="F158" t="inlineStr">
        <is>
          <t>VÄSTRA GÖTALANDS LÄN</t>
        </is>
      </c>
      <c r="G158" t="inlineStr">
        <is>
          <t>SKARA</t>
        </is>
      </c>
      <c r="I158" t="n">
        <v>0.5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t="n">
        <v>0</v>
      </c>
      <c r="S158" t="n">
        <v>0</v>
      </c>
      <c r="T158" t="n">
        <v>0</v>
      </c>
      <c r="U158" t="n">
        <v>0</v>
      </c>
      <c r="V158" s="2" t="inlineStr"/>
    </row>
    <row r="159" ht="15" customHeight="1">
      <c r="A159" t="inlineStr">
        <is>
          <t>A 10913-2024</t>
        </is>
      </c>
      <c r="B159" t="inlineStr">
        <is>
          <t>avverkningsanmälan</t>
        </is>
      </c>
      <c r="C159" t="inlineStr">
        <is>
          <t>Föryngringsavverkning</t>
        </is>
      </c>
      <c r="D159" s="1" t="n">
        <v>45370</v>
      </c>
      <c r="E159" s="1" t="n">
        <v>46317</v>
      </c>
      <c r="F159" t="inlineStr">
        <is>
          <t>VÄSTRA GÖTALANDS LÄN</t>
        </is>
      </c>
      <c r="G159" t="inlineStr">
        <is>
          <t>SKARA</t>
        </is>
      </c>
      <c r="I159" t="n">
        <v>0.8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t="n">
        <v>0</v>
      </c>
      <c r="S159" t="n">
        <v>0</v>
      </c>
      <c r="T159" t="n">
        <v>0</v>
      </c>
      <c r="U159" t="n">
        <v>0</v>
      </c>
      <c r="V159" s="2" t="inlineStr"/>
    </row>
    <row r="160" ht="15" customHeight="1">
      <c r="A160" t="inlineStr">
        <is>
          <t>A 2472-2024</t>
        </is>
      </c>
      <c r="B160" t="inlineStr">
        <is>
          <t>avverkningsanmälan</t>
        </is>
      </c>
      <c r="C160" t="inlineStr">
        <is>
          <t>Föryngringsavverkning</t>
        </is>
      </c>
      <c r="D160" s="1" t="n">
        <v>45313</v>
      </c>
      <c r="E160" s="1" t="n">
        <v>46317</v>
      </c>
      <c r="F160" t="inlineStr">
        <is>
          <t>VÄSTRA GÖTALANDS LÄN</t>
        </is>
      </c>
      <c r="G160" t="inlineStr">
        <is>
          <t>SKARA</t>
        </is>
      </c>
      <c r="I160" t="n">
        <v>1.1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t="n">
        <v>0</v>
      </c>
      <c r="S160" t="n">
        <v>0</v>
      </c>
      <c r="T160" t="n">
        <v>0</v>
      </c>
      <c r="U160" t="n">
        <v>0</v>
      </c>
      <c r="V160" s="2" t="inlineStr"/>
    </row>
    <row r="161" ht="15" customHeight="1">
      <c r="A161" t="inlineStr">
        <is>
          <t>A 26333-2026</t>
        </is>
      </c>
      <c r="B161" t="inlineStr">
        <is>
          <t>avverkningsanmälan</t>
        </is>
      </c>
      <c r="C161" t="inlineStr">
        <is>
          <t>Föryngringsavverkning</t>
        </is>
      </c>
      <c r="D161" s="1" t="n">
        <v>46182</v>
      </c>
      <c r="E161" s="1" t="n">
        <v>46317</v>
      </c>
      <c r="F161" t="inlineStr">
        <is>
          <t>VÄSTRA GÖTALANDS LÄN</t>
        </is>
      </c>
      <c r="G161" t="inlineStr">
        <is>
          <t>SKARA</t>
        </is>
      </c>
      <c r="I161" t="n">
        <v>1.8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t="n">
        <v>0</v>
      </c>
      <c r="S161" t="n">
        <v>0</v>
      </c>
      <c r="T161" t="n">
        <v>0</v>
      </c>
      <c r="U161" t="n">
        <v>0</v>
      </c>
      <c r="V161" s="2" t="inlineStr"/>
    </row>
    <row r="162" ht="15" customHeight="1">
      <c r="A162" t="inlineStr">
        <is>
          <t>A 22870-2024</t>
        </is>
      </c>
      <c r="B162" t="inlineStr">
        <is>
          <t>avverkningsanmälan</t>
        </is>
      </c>
      <c r="C162" t="inlineStr">
        <is>
          <t>Föryngringsavverkning</t>
        </is>
      </c>
      <c r="D162" s="1" t="n">
        <v>45448</v>
      </c>
      <c r="E162" s="1" t="n">
        <v>46317</v>
      </c>
      <c r="F162" t="inlineStr">
        <is>
          <t>VÄSTRA GÖTALANDS LÄN</t>
        </is>
      </c>
      <c r="G162" t="inlineStr">
        <is>
          <t>SKARA</t>
        </is>
      </c>
      <c r="H162" t="inlineStr">
        <is>
          <t>Sveaskog</t>
        </is>
      </c>
      <c r="I162" t="n">
        <v>3.3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t="n">
        <v>0</v>
      </c>
      <c r="S162" t="n">
        <v>0</v>
      </c>
      <c r="T162" t="n">
        <v>0</v>
      </c>
      <c r="U162" t="n">
        <v>0</v>
      </c>
      <c r="V162" s="2" t="inlineStr"/>
    </row>
    <row r="163" ht="15" customHeight="1">
      <c r="A163" t="inlineStr">
        <is>
          <t>A 27478-2026</t>
        </is>
      </c>
      <c r="B163" t="inlineStr">
        <is>
          <t>avverkningsanmälan</t>
        </is>
      </c>
      <c r="C163" t="inlineStr">
        <is>
          <t>Avverkning för att bevara och utveckla /försöksver</t>
        </is>
      </c>
      <c r="D163" s="1" t="n">
        <v>46189</v>
      </c>
      <c r="E163" s="1" t="n">
        <v>46317</v>
      </c>
      <c r="F163" t="inlineStr">
        <is>
          <t>VÄSTRA GÖTALANDS LÄN</t>
        </is>
      </c>
      <c r="G163" t="inlineStr">
        <is>
          <t>SKARA</t>
        </is>
      </c>
      <c r="I163" t="n">
        <v>2.1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t="n">
        <v>0</v>
      </c>
      <c r="S163" t="n">
        <v>0</v>
      </c>
      <c r="T163" t="n">
        <v>0</v>
      </c>
      <c r="U163" t="n">
        <v>0</v>
      </c>
      <c r="V163" s="2" t="inlineStr"/>
    </row>
    <row r="164" ht="15" customHeight="1">
      <c r="A164" t="inlineStr">
        <is>
          <t>A 18701-2022</t>
        </is>
      </c>
      <c r="B164" t="inlineStr">
        <is>
          <t>avverkningsanmälan</t>
        </is>
      </c>
      <c r="C164" t="inlineStr">
        <is>
          <t>Avverkning för annat ändamål</t>
        </is>
      </c>
      <c r="D164" s="1" t="n">
        <v>44687</v>
      </c>
      <c r="E164" s="1" t="n">
        <v>46317</v>
      </c>
      <c r="F164" t="inlineStr">
        <is>
          <t>VÄSTRA GÖTALANDS LÄN</t>
        </is>
      </c>
      <c r="G164" t="inlineStr">
        <is>
          <t>SKARA</t>
        </is>
      </c>
      <c r="I164" t="n">
        <v>1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t="n">
        <v>0</v>
      </c>
      <c r="S164" t="n">
        <v>0</v>
      </c>
      <c r="T164" t="n">
        <v>0</v>
      </c>
      <c r="U164" t="n">
        <v>0</v>
      </c>
      <c r="V164" s="2" t="inlineStr"/>
    </row>
    <row r="165" ht="15" customHeight="1">
      <c r="A165" t="inlineStr">
        <is>
          <t>A 46190-2023</t>
        </is>
      </c>
      <c r="B165" t="inlineStr">
        <is>
          <t>avverkningsanmälan</t>
        </is>
      </c>
      <c r="C165" t="inlineStr">
        <is>
          <t>Föryngringsavverkning</t>
        </is>
      </c>
      <c r="D165" s="1" t="n">
        <v>45196</v>
      </c>
      <c r="E165" s="1" t="n">
        <v>46317</v>
      </c>
      <c r="F165" t="inlineStr">
        <is>
          <t>VÄSTRA GÖTALANDS LÄN</t>
        </is>
      </c>
      <c r="G165" t="inlineStr">
        <is>
          <t>SKARA</t>
        </is>
      </c>
      <c r="I165" t="n">
        <v>1.1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t="n">
        <v>0</v>
      </c>
      <c r="S165" t="n">
        <v>0</v>
      </c>
      <c r="T165" t="n">
        <v>0</v>
      </c>
      <c r="U165" t="n">
        <v>0</v>
      </c>
      <c r="V165" s="2" t="inlineStr"/>
    </row>
    <row r="166" ht="15" customHeight="1">
      <c r="A166" t="inlineStr">
        <is>
          <t>A 41562-2022</t>
        </is>
      </c>
      <c r="B166" t="inlineStr">
        <is>
          <t>avverkningsanmälan</t>
        </is>
      </c>
      <c r="C166" t="inlineStr">
        <is>
          <t>Föryngringsavverkning</t>
        </is>
      </c>
      <c r="D166" s="1" t="n">
        <v>44827</v>
      </c>
      <c r="E166" s="1" t="n">
        <v>46317</v>
      </c>
      <c r="F166" t="inlineStr">
        <is>
          <t>VÄSTRA GÖTALANDS LÄN</t>
        </is>
      </c>
      <c r="G166" t="inlineStr">
        <is>
          <t>SKARA</t>
        </is>
      </c>
      <c r="I166" t="n">
        <v>0.8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t="n">
        <v>0</v>
      </c>
      <c r="S166" t="n">
        <v>0</v>
      </c>
      <c r="T166" t="n">
        <v>0</v>
      </c>
      <c r="U166" t="n">
        <v>0</v>
      </c>
      <c r="V166" s="2" t="inlineStr"/>
    </row>
    <row r="167" ht="15" customHeight="1">
      <c r="A167" t="inlineStr">
        <is>
          <t>A 2701-2024</t>
        </is>
      </c>
      <c r="B167" t="inlineStr">
        <is>
          <t>avverkningsanmälan</t>
        </is>
      </c>
      <c r="C167" t="inlineStr">
        <is>
          <t>Föryngringsavverkning</t>
        </is>
      </c>
      <c r="D167" s="1" t="n">
        <v>45314</v>
      </c>
      <c r="E167" s="1" t="n">
        <v>46317</v>
      </c>
      <c r="F167" t="inlineStr">
        <is>
          <t>VÄSTRA GÖTALANDS LÄN</t>
        </is>
      </c>
      <c r="G167" t="inlineStr">
        <is>
          <t>SKARA</t>
        </is>
      </c>
      <c r="I167" t="n">
        <v>0.4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t="n">
        <v>0</v>
      </c>
      <c r="S167" t="n">
        <v>0</v>
      </c>
      <c r="T167" t="n">
        <v>0</v>
      </c>
      <c r="U167" t="n">
        <v>0</v>
      </c>
      <c r="V167" s="2" t="inlineStr"/>
    </row>
    <row r="168" ht="15" customHeight="1">
      <c r="A168" t="inlineStr">
        <is>
          <t>A 4542-2025</t>
        </is>
      </c>
      <c r="B168" t="inlineStr">
        <is>
          <t>avverkningsanmälan</t>
        </is>
      </c>
      <c r="C168" t="inlineStr">
        <is>
          <t>Föryngringsavverkning</t>
        </is>
      </c>
      <c r="D168" s="1" t="n">
        <v>45687</v>
      </c>
      <c r="E168" s="1" t="n">
        <v>46317</v>
      </c>
      <c r="F168" t="inlineStr">
        <is>
          <t>VÄSTRA GÖTALANDS LÄN</t>
        </is>
      </c>
      <c r="G168" t="inlineStr">
        <is>
          <t>SKARA</t>
        </is>
      </c>
      <c r="I168" t="n">
        <v>4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t="n">
        <v>0</v>
      </c>
      <c r="S168" t="n">
        <v>0</v>
      </c>
      <c r="T168" t="n">
        <v>0</v>
      </c>
      <c r="U168" t="n">
        <v>0</v>
      </c>
      <c r="V168" s="2" t="inlineStr"/>
    </row>
    <row r="169" ht="15" customHeight="1">
      <c r="A169" t="inlineStr">
        <is>
          <t>A 59996-2022</t>
        </is>
      </c>
      <c r="B169" t="inlineStr">
        <is>
          <t>avverkningsanmälan</t>
        </is>
      </c>
      <c r="C169" t="inlineStr">
        <is>
          <t>Föryngringsavverkning</t>
        </is>
      </c>
      <c r="D169" s="1" t="n">
        <v>44909</v>
      </c>
      <c r="E169" s="1" t="n">
        <v>46317</v>
      </c>
      <c r="F169" t="inlineStr">
        <is>
          <t>VÄSTRA GÖTALANDS LÄN</t>
        </is>
      </c>
      <c r="G169" t="inlineStr">
        <is>
          <t>SKARA</t>
        </is>
      </c>
      <c r="I169" t="n">
        <v>0.6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t="n">
        <v>0</v>
      </c>
      <c r="S169" t="n">
        <v>0</v>
      </c>
      <c r="T169" t="n">
        <v>0</v>
      </c>
      <c r="U169" t="n">
        <v>0</v>
      </c>
      <c r="V169" s="2" t="inlineStr"/>
    </row>
    <row r="170" ht="15" customHeight="1">
      <c r="A170" t="inlineStr">
        <is>
          <t>A 12937-2024</t>
        </is>
      </c>
      <c r="B170" t="inlineStr">
        <is>
          <t>avverkningsanmälan</t>
        </is>
      </c>
      <c r="C170" t="inlineStr">
        <is>
          <t>Föryngringsavverkning</t>
        </is>
      </c>
      <c r="D170" s="1" t="n">
        <v>45385</v>
      </c>
      <c r="E170" s="1" t="n">
        <v>46317</v>
      </c>
      <c r="F170" t="inlineStr">
        <is>
          <t>VÄSTRA GÖTALANDS LÄN</t>
        </is>
      </c>
      <c r="G170" t="inlineStr">
        <is>
          <t>SKARA</t>
        </is>
      </c>
      <c r="I170" t="n">
        <v>1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t="n">
        <v>0</v>
      </c>
      <c r="S170" t="n">
        <v>0</v>
      </c>
      <c r="T170" t="n">
        <v>0</v>
      </c>
      <c r="U170" t="n">
        <v>0</v>
      </c>
      <c r="V170" s="2" t="inlineStr"/>
    </row>
    <row r="171" ht="15" customHeight="1">
      <c r="A171" t="inlineStr">
        <is>
          <t>A 11902-2023</t>
        </is>
      </c>
      <c r="B171" t="inlineStr">
        <is>
          <t>avverkningsanmälan</t>
        </is>
      </c>
      <c r="C171" t="inlineStr">
        <is>
          <t>Föryngringsavverkning</t>
        </is>
      </c>
      <c r="D171" s="1" t="n">
        <v>44995</v>
      </c>
      <c r="E171" s="1" t="n">
        <v>46317</v>
      </c>
      <c r="F171" t="inlineStr">
        <is>
          <t>VÄSTRA GÖTALANDS LÄN</t>
        </is>
      </c>
      <c r="G171" t="inlineStr">
        <is>
          <t>SKARA</t>
        </is>
      </c>
      <c r="I171" t="n">
        <v>13.5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t="n">
        <v>0</v>
      </c>
      <c r="S171" t="n">
        <v>0</v>
      </c>
      <c r="T171" t="n">
        <v>0</v>
      </c>
      <c r="U171" t="n">
        <v>0</v>
      </c>
      <c r="V171" s="2" t="inlineStr"/>
    </row>
    <row r="172" ht="15" customHeight="1">
      <c r="A172" t="inlineStr">
        <is>
          <t>A 55246-2022</t>
        </is>
      </c>
      <c r="B172" t="inlineStr">
        <is>
          <t>avverkningsanmälan</t>
        </is>
      </c>
      <c r="C172" t="inlineStr">
        <is>
          <t>Föryngringsavverkning</t>
        </is>
      </c>
      <c r="D172" s="1" t="n">
        <v>44887</v>
      </c>
      <c r="E172" s="1" t="n">
        <v>46317</v>
      </c>
      <c r="F172" t="inlineStr">
        <is>
          <t>VÄSTRA GÖTALANDS LÄN</t>
        </is>
      </c>
      <c r="G172" t="inlineStr">
        <is>
          <t>SKARA</t>
        </is>
      </c>
      <c r="I172" t="n">
        <v>2.8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t="n">
        <v>0</v>
      </c>
      <c r="S172" t="n">
        <v>0</v>
      </c>
      <c r="T172" t="n">
        <v>0</v>
      </c>
      <c r="U172" t="n">
        <v>0</v>
      </c>
      <c r="V172" s="2" t="inlineStr"/>
    </row>
    <row r="173" ht="15" customHeight="1">
      <c r="A173" t="inlineStr">
        <is>
          <t>A 50043-2023</t>
        </is>
      </c>
      <c r="B173" t="inlineStr">
        <is>
          <t>avverkningsanmälan</t>
        </is>
      </c>
      <c r="C173" t="inlineStr">
        <is>
          <t>Föryngringsavverkning</t>
        </is>
      </c>
      <c r="D173" s="1" t="n">
        <v>45215</v>
      </c>
      <c r="E173" s="1" t="n">
        <v>46317</v>
      </c>
      <c r="F173" t="inlineStr">
        <is>
          <t>VÄSTRA GÖTALANDS LÄN</t>
        </is>
      </c>
      <c r="G173" t="inlineStr">
        <is>
          <t>SKARA</t>
        </is>
      </c>
      <c r="I173" t="n">
        <v>0.4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t="n">
        <v>0</v>
      </c>
      <c r="S173" t="n">
        <v>0</v>
      </c>
      <c r="T173" t="n">
        <v>0</v>
      </c>
      <c r="U173" t="n">
        <v>0</v>
      </c>
      <c r="V173" s="2" t="inlineStr"/>
    </row>
    <row r="174" ht="15" customHeight="1">
      <c r="A174" t="inlineStr">
        <is>
          <t>A 64551-2023</t>
        </is>
      </c>
      <c r="B174" t="inlineStr">
        <is>
          <t>avverkningsanmälan</t>
        </is>
      </c>
      <c r="C174" t="inlineStr">
        <is>
          <t>Föryngringsavverkning</t>
        </is>
      </c>
      <c r="D174" s="1" t="n">
        <v>45281</v>
      </c>
      <c r="E174" s="1" t="n">
        <v>46317</v>
      </c>
      <c r="F174" t="inlineStr">
        <is>
          <t>VÄSTRA GÖTALANDS LÄN</t>
        </is>
      </c>
      <c r="G174" t="inlineStr">
        <is>
          <t>SKARA</t>
        </is>
      </c>
      <c r="I174" t="n">
        <v>0.3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t="n">
        <v>0</v>
      </c>
      <c r="S174" t="n">
        <v>0</v>
      </c>
      <c r="T174" t="n">
        <v>0</v>
      </c>
      <c r="U174" t="n">
        <v>0</v>
      </c>
      <c r="V174" s="2" t="inlineStr"/>
    </row>
    <row r="175" ht="15" customHeight="1">
      <c r="A175" t="inlineStr">
        <is>
          <t>A 38205-2022</t>
        </is>
      </c>
      <c r="B175" t="inlineStr">
        <is>
          <t>avverkningsanmälan</t>
        </is>
      </c>
      <c r="C175" t="inlineStr">
        <is>
          <t>Föryngringsavverkning</t>
        </is>
      </c>
      <c r="D175" s="1" t="n">
        <v>44812</v>
      </c>
      <c r="E175" s="1" t="n">
        <v>46317</v>
      </c>
      <c r="F175" t="inlineStr">
        <is>
          <t>VÄSTRA GÖTALANDS LÄN</t>
        </is>
      </c>
      <c r="G175" t="inlineStr">
        <is>
          <t>SKARA</t>
        </is>
      </c>
      <c r="I175" t="n">
        <v>1.8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t="n">
        <v>0</v>
      </c>
      <c r="S175" t="n">
        <v>0</v>
      </c>
      <c r="T175" t="n">
        <v>0</v>
      </c>
      <c r="U175" t="n">
        <v>0</v>
      </c>
      <c r="V175" s="2" t="inlineStr"/>
    </row>
    <row r="176" ht="15" customHeight="1">
      <c r="A176" t="inlineStr">
        <is>
          <t>A 34569-2023</t>
        </is>
      </c>
      <c r="B176" t="inlineStr">
        <is>
          <t>avverkningsanmälan</t>
        </is>
      </c>
      <c r="C176" t="inlineStr">
        <is>
          <t>Föryngringsavverkning</t>
        </is>
      </c>
      <c r="D176" s="1" t="n">
        <v>45140</v>
      </c>
      <c r="E176" s="1" t="n">
        <v>46317</v>
      </c>
      <c r="F176" t="inlineStr">
        <is>
          <t>VÄSTRA GÖTALANDS LÄN</t>
        </is>
      </c>
      <c r="G176" t="inlineStr">
        <is>
          <t>SKARA</t>
        </is>
      </c>
      <c r="I176" t="n">
        <v>0.5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t="n">
        <v>0</v>
      </c>
      <c r="S176" t="n">
        <v>0</v>
      </c>
      <c r="T176" t="n">
        <v>0</v>
      </c>
      <c r="U176" t="n">
        <v>0</v>
      </c>
      <c r="V176" s="2" t="inlineStr"/>
    </row>
    <row r="177" ht="15" customHeight="1">
      <c r="A177" t="inlineStr">
        <is>
          <t>A 11900-2023</t>
        </is>
      </c>
      <c r="B177" t="inlineStr">
        <is>
          <t>avverkningsanmälan</t>
        </is>
      </c>
      <c r="C177" t="inlineStr">
        <is>
          <t>Föryngringsavverkning</t>
        </is>
      </c>
      <c r="D177" s="1" t="n">
        <v>44995</v>
      </c>
      <c r="E177" s="1" t="n">
        <v>46317</v>
      </c>
      <c r="F177" t="inlineStr">
        <is>
          <t>VÄSTRA GÖTALANDS LÄN</t>
        </is>
      </c>
      <c r="G177" t="inlineStr">
        <is>
          <t>SKARA</t>
        </is>
      </c>
      <c r="I177" t="n">
        <v>2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t="n">
        <v>0</v>
      </c>
      <c r="S177" t="n">
        <v>0</v>
      </c>
      <c r="T177" t="n">
        <v>0</v>
      </c>
      <c r="U177" t="n">
        <v>0</v>
      </c>
      <c r="V177" s="2" t="inlineStr"/>
    </row>
    <row r="178" ht="15" customHeight="1">
      <c r="A178" t="inlineStr">
        <is>
          <t>A 52383-2023</t>
        </is>
      </c>
      <c r="B178" t="inlineStr">
        <is>
          <t>avverkningsanmälan</t>
        </is>
      </c>
      <c r="C178" t="inlineStr">
        <is>
          <t>Föryngringsavverkning</t>
        </is>
      </c>
      <c r="D178" s="1" t="n">
        <v>45224</v>
      </c>
      <c r="E178" s="1" t="n">
        <v>46317</v>
      </c>
      <c r="F178" t="inlineStr">
        <is>
          <t>VÄSTRA GÖTALANDS LÄN</t>
        </is>
      </c>
      <c r="G178" t="inlineStr">
        <is>
          <t>SKARA</t>
        </is>
      </c>
      <c r="I178" t="n">
        <v>0.8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t="n">
        <v>0</v>
      </c>
      <c r="S178" t="n">
        <v>0</v>
      </c>
      <c r="T178" t="n">
        <v>0</v>
      </c>
      <c r="U178" t="n">
        <v>0</v>
      </c>
      <c r="V178" s="2" t="inlineStr"/>
    </row>
    <row r="179" ht="15" customHeight="1">
      <c r="A179" t="inlineStr">
        <is>
          <t>A 64553-2023</t>
        </is>
      </c>
      <c r="B179" t="inlineStr">
        <is>
          <t>avverkningsanmälan</t>
        </is>
      </c>
      <c r="C179" t="inlineStr">
        <is>
          <t>Föryngringsavverkning</t>
        </is>
      </c>
      <c r="D179" s="1" t="n">
        <v>45281</v>
      </c>
      <c r="E179" s="1" t="n">
        <v>46317</v>
      </c>
      <c r="F179" t="inlineStr">
        <is>
          <t>VÄSTRA GÖTALANDS LÄN</t>
        </is>
      </c>
      <c r="G179" t="inlineStr">
        <is>
          <t>SKARA</t>
        </is>
      </c>
      <c r="I179" t="n">
        <v>0.2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t="n">
        <v>0</v>
      </c>
      <c r="S179" t="n">
        <v>0</v>
      </c>
      <c r="T179" t="n">
        <v>0</v>
      </c>
      <c r="U179" t="n">
        <v>0</v>
      </c>
      <c r="V179" s="2" t="inlineStr"/>
    </row>
    <row r="180" ht="15" customHeight="1">
      <c r="A180" t="inlineStr">
        <is>
          <t>A 29478-2026</t>
        </is>
      </c>
      <c r="B180" t="inlineStr">
        <is>
          <t>avverkningsanmälan</t>
        </is>
      </c>
      <c r="C180" t="inlineStr">
        <is>
          <t>Föryngringsavverkning</t>
        </is>
      </c>
      <c r="D180" s="1" t="n">
        <v>46203</v>
      </c>
      <c r="E180" s="1" t="n">
        <v>46317</v>
      </c>
      <c r="F180" t="inlineStr">
        <is>
          <t>VÄSTRA GÖTALANDS LÄN</t>
        </is>
      </c>
      <c r="G180" t="inlineStr">
        <is>
          <t>SKARA</t>
        </is>
      </c>
      <c r="H180" t="inlineStr">
        <is>
          <t>Kyrkan</t>
        </is>
      </c>
      <c r="I180" t="n">
        <v>2.9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t="n">
        <v>0</v>
      </c>
      <c r="S180" t="n">
        <v>0</v>
      </c>
      <c r="T180" t="n">
        <v>0</v>
      </c>
      <c r="U180" t="n">
        <v>0</v>
      </c>
      <c r="V180" s="2" t="inlineStr"/>
    </row>
    <row r="181" ht="15" customHeight="1">
      <c r="A181" t="inlineStr">
        <is>
          <t>A 24144-2026</t>
        </is>
      </c>
      <c r="B181" t="inlineStr">
        <is>
          <t>avverkningsanmälan</t>
        </is>
      </c>
      <c r="C181" t="inlineStr">
        <is>
          <t>Föryngringsavverkning</t>
        </is>
      </c>
      <c r="D181" s="1" t="n">
        <v>46168</v>
      </c>
      <c r="E181" s="1" t="n">
        <v>46317</v>
      </c>
      <c r="F181" t="inlineStr">
        <is>
          <t>VÄSTRA GÖTALANDS LÄN</t>
        </is>
      </c>
      <c r="G181" t="inlineStr">
        <is>
          <t>SKARA</t>
        </is>
      </c>
      <c r="I181" t="n">
        <v>2.6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t="n">
        <v>0</v>
      </c>
      <c r="S181" t="n">
        <v>0</v>
      </c>
      <c r="T181" t="n">
        <v>0</v>
      </c>
      <c r="U181" t="n">
        <v>0</v>
      </c>
      <c r="V181" s="2" t="inlineStr"/>
    </row>
    <row r="182" ht="15" customHeight="1">
      <c r="A182" t="inlineStr">
        <is>
          <t>A 1567-2023</t>
        </is>
      </c>
      <c r="B182" t="inlineStr">
        <is>
          <t>avverkningsanmälan</t>
        </is>
      </c>
      <c r="C182" t="inlineStr">
        <is>
          <t>Föryngringsavverkning</t>
        </is>
      </c>
      <c r="D182" s="1" t="n">
        <v>44937</v>
      </c>
      <c r="E182" s="1" t="n">
        <v>46317</v>
      </c>
      <c r="F182" t="inlineStr">
        <is>
          <t>VÄSTRA GÖTALANDS LÄN</t>
        </is>
      </c>
      <c r="G182" t="inlineStr">
        <is>
          <t>SKARA</t>
        </is>
      </c>
      <c r="I182" t="n">
        <v>2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t="n">
        <v>0</v>
      </c>
      <c r="S182" t="n">
        <v>0</v>
      </c>
      <c r="T182" t="n">
        <v>0</v>
      </c>
      <c r="U182" t="n">
        <v>0</v>
      </c>
      <c r="V182" s="2" t="inlineStr"/>
    </row>
    <row r="183" ht="15" customHeight="1">
      <c r="A183" t="inlineStr">
        <is>
          <t>A 35217-2023</t>
        </is>
      </c>
      <c r="B183" t="inlineStr">
        <is>
          <t>avverkningsanmälan</t>
        </is>
      </c>
      <c r="C183" t="inlineStr">
        <is>
          <t>Föryngringsavverkning</t>
        </is>
      </c>
      <c r="D183" s="1" t="n">
        <v>45145</v>
      </c>
      <c r="E183" s="1" t="n">
        <v>46317</v>
      </c>
      <c r="F183" t="inlineStr">
        <is>
          <t>VÄSTRA GÖTALANDS LÄN</t>
        </is>
      </c>
      <c r="G183" t="inlineStr">
        <is>
          <t>SKARA</t>
        </is>
      </c>
      <c r="I183" t="n">
        <v>0.7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t="n">
        <v>0</v>
      </c>
      <c r="S183" t="n">
        <v>0</v>
      </c>
      <c r="T183" t="n">
        <v>0</v>
      </c>
      <c r="U183" t="n">
        <v>0</v>
      </c>
      <c r="V183" s="2" t="inlineStr"/>
    </row>
    <row r="184" ht="15" customHeight="1">
      <c r="A184" t="inlineStr">
        <is>
          <t>A 20470-2024</t>
        </is>
      </c>
      <c r="B184" t="inlineStr">
        <is>
          <t>avverkningsanmälan</t>
        </is>
      </c>
      <c r="C184" t="inlineStr">
        <is>
          <t>Föryngringsavverkning</t>
        </is>
      </c>
      <c r="D184" s="1" t="n">
        <v>45435</v>
      </c>
      <c r="E184" s="1" t="n">
        <v>46317</v>
      </c>
      <c r="F184" t="inlineStr">
        <is>
          <t>VÄSTRA GÖTALANDS LÄN</t>
        </is>
      </c>
      <c r="G184" t="inlineStr">
        <is>
          <t>SKARA</t>
        </is>
      </c>
      <c r="I184" t="n">
        <v>0.7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t="n">
        <v>0</v>
      </c>
      <c r="S184" t="n">
        <v>0</v>
      </c>
      <c r="T184" t="n">
        <v>0</v>
      </c>
      <c r="U184" t="n">
        <v>0</v>
      </c>
      <c r="V184" s="2" t="inlineStr"/>
    </row>
    <row r="185" ht="15" customHeight="1">
      <c r="A185" t="inlineStr">
        <is>
          <t>A 12889-2022</t>
        </is>
      </c>
      <c r="B185" t="inlineStr">
        <is>
          <t>avverkningsanmälan</t>
        </is>
      </c>
      <c r="C185" t="inlineStr">
        <is>
          <t>Föryngringsavverkning</t>
        </is>
      </c>
      <c r="D185" s="1" t="n">
        <v>44642</v>
      </c>
      <c r="E185" s="1" t="n">
        <v>46317</v>
      </c>
      <c r="F185" t="inlineStr">
        <is>
          <t>VÄSTRA GÖTALANDS LÄN</t>
        </is>
      </c>
      <c r="G185" t="inlineStr">
        <is>
          <t>SKARA</t>
        </is>
      </c>
      <c r="I185" t="n">
        <v>1.3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t="n">
        <v>0</v>
      </c>
      <c r="S185" t="n">
        <v>0</v>
      </c>
      <c r="T185" t="n">
        <v>0</v>
      </c>
      <c r="U185" t="n">
        <v>0</v>
      </c>
      <c r="V185" s="2" t="inlineStr"/>
    </row>
    <row r="186" ht="15" customHeight="1">
      <c r="A186" t="inlineStr">
        <is>
          <t>A 38007-2026</t>
        </is>
      </c>
      <c r="B186" t="inlineStr">
        <is>
          <t>avverkningsanmälan</t>
        </is>
      </c>
      <c r="C186" t="inlineStr">
        <is>
          <t>Föryngringsavverkning</t>
        </is>
      </c>
      <c r="D186" s="1" t="n">
        <v>46280</v>
      </c>
      <c r="E186" s="1" t="n">
        <v>46317</v>
      </c>
      <c r="F186" t="inlineStr">
        <is>
          <t>VÄSTRA GÖTALANDS LÄN</t>
        </is>
      </c>
      <c r="G186" t="inlineStr">
        <is>
          <t>SKARA</t>
        </is>
      </c>
      <c r="I186" t="n">
        <v>5.2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t="n">
        <v>0</v>
      </c>
      <c r="S186" t="n">
        <v>0</v>
      </c>
      <c r="T186" t="n">
        <v>0</v>
      </c>
      <c r="U186" t="n">
        <v>0</v>
      </c>
      <c r="V186" s="2" t="inlineStr"/>
    </row>
    <row r="187" ht="15" customHeight="1">
      <c r="A187" t="inlineStr">
        <is>
          <t>A 26268-2023</t>
        </is>
      </c>
      <c r="B187" t="inlineStr">
        <is>
          <t>avverkningsanmälan</t>
        </is>
      </c>
      <c r="C187" t="inlineStr">
        <is>
          <t>Föryngringsavverkning</t>
        </is>
      </c>
      <c r="D187" s="1" t="n">
        <v>45091</v>
      </c>
      <c r="E187" s="1" t="n">
        <v>46317</v>
      </c>
      <c r="F187" t="inlineStr">
        <is>
          <t>VÄSTRA GÖTALANDS LÄN</t>
        </is>
      </c>
      <c r="G187" t="inlineStr">
        <is>
          <t>SKARA</t>
        </is>
      </c>
      <c r="I187" t="n">
        <v>21.6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t="n">
        <v>0</v>
      </c>
      <c r="S187" t="n">
        <v>0</v>
      </c>
      <c r="T187" t="n">
        <v>0</v>
      </c>
      <c r="U187" t="n">
        <v>0</v>
      </c>
      <c r="V187" s="2" t="inlineStr"/>
    </row>
    <row r="188" ht="15" customHeight="1">
      <c r="A188" t="inlineStr">
        <is>
          <t>A 52381-2023</t>
        </is>
      </c>
      <c r="B188" t="inlineStr">
        <is>
          <t>avverkningsanmälan</t>
        </is>
      </c>
      <c r="C188" t="inlineStr">
        <is>
          <t>Föryngringsavverkning</t>
        </is>
      </c>
      <c r="D188" s="1" t="n">
        <v>45224</v>
      </c>
      <c r="E188" s="1" t="n">
        <v>46317</v>
      </c>
      <c r="F188" t="inlineStr">
        <is>
          <t>VÄSTRA GÖTALANDS LÄN</t>
        </is>
      </c>
      <c r="G188" t="inlineStr">
        <is>
          <t>SKARA</t>
        </is>
      </c>
      <c r="I188" t="n">
        <v>0.2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t="n">
        <v>0</v>
      </c>
      <c r="S188" t="n">
        <v>0</v>
      </c>
      <c r="T188" t="n">
        <v>0</v>
      </c>
      <c r="U188" t="n">
        <v>0</v>
      </c>
      <c r="V188" s="2" t="inlineStr"/>
    </row>
    <row r="189" ht="15" customHeight="1">
      <c r="A189" t="inlineStr">
        <is>
          <t>A 37460-2023</t>
        </is>
      </c>
      <c r="B189" t="inlineStr">
        <is>
          <t>avverkningsanmälan</t>
        </is>
      </c>
      <c r="C189" t="inlineStr">
        <is>
          <t>Föryngringsavverkning</t>
        </is>
      </c>
      <c r="D189" s="1" t="n">
        <v>45156</v>
      </c>
      <c r="E189" s="1" t="n">
        <v>46317</v>
      </c>
      <c r="F189" t="inlineStr">
        <is>
          <t>VÄSTRA GÖTALANDS LÄN</t>
        </is>
      </c>
      <c r="G189" t="inlineStr">
        <is>
          <t>SKARA</t>
        </is>
      </c>
      <c r="I189" t="n">
        <v>2.6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t="n">
        <v>0</v>
      </c>
      <c r="S189" t="n">
        <v>0</v>
      </c>
      <c r="T189" t="n">
        <v>0</v>
      </c>
      <c r="U189" t="n">
        <v>0</v>
      </c>
      <c r="V189" s="2" t="inlineStr"/>
    </row>
    <row r="190" ht="15" customHeight="1">
      <c r="A190" t="inlineStr">
        <is>
          <t>A 55202-2024</t>
        </is>
      </c>
      <c r="B190" t="inlineStr">
        <is>
          <t>avverkningsanmälan</t>
        </is>
      </c>
      <c r="C190" t="inlineStr">
        <is>
          <t>Föryngringsavverkning</t>
        </is>
      </c>
      <c r="D190" s="1" t="n">
        <v>45621</v>
      </c>
      <c r="E190" s="1" t="n">
        <v>46317</v>
      </c>
      <c r="F190" t="inlineStr">
        <is>
          <t>VÄSTRA GÖTALANDS LÄN</t>
        </is>
      </c>
      <c r="G190" t="inlineStr">
        <is>
          <t>SKARA</t>
        </is>
      </c>
      <c r="I190" t="n">
        <v>4.4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t="n">
        <v>0</v>
      </c>
      <c r="S190" t="n">
        <v>0</v>
      </c>
      <c r="T190" t="n">
        <v>0</v>
      </c>
      <c r="U190" t="n">
        <v>0</v>
      </c>
      <c r="V190" s="2" t="inlineStr"/>
    </row>
    <row r="191" ht="15" customHeight="1">
      <c r="A191" t="inlineStr">
        <is>
          <t>A 55211-2024</t>
        </is>
      </c>
      <c r="B191" t="inlineStr">
        <is>
          <t>avverkningsanmälan</t>
        </is>
      </c>
      <c r="C191" t="inlineStr">
        <is>
          <t>Föryngringsavverkning</t>
        </is>
      </c>
      <c r="D191" s="1" t="n">
        <v>45621</v>
      </c>
      <c r="E191" s="1" t="n">
        <v>46317</v>
      </c>
      <c r="F191" t="inlineStr">
        <is>
          <t>VÄSTRA GÖTALANDS LÄN</t>
        </is>
      </c>
      <c r="G191" t="inlineStr">
        <is>
          <t>SKARA</t>
        </is>
      </c>
      <c r="I191" t="n">
        <v>4.7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t="n">
        <v>0</v>
      </c>
      <c r="S191" t="n">
        <v>0</v>
      </c>
      <c r="T191" t="n">
        <v>0</v>
      </c>
      <c r="U191" t="n">
        <v>0</v>
      </c>
      <c r="V191" s="2" t="inlineStr"/>
    </row>
    <row r="192" ht="15" customHeight="1">
      <c r="A192" t="inlineStr">
        <is>
          <t>A 515-2024</t>
        </is>
      </c>
      <c r="B192" t="inlineStr">
        <is>
          <t>avverkningsanmälan</t>
        </is>
      </c>
      <c r="C192" t="inlineStr">
        <is>
          <t>Föryngringsavverkning</t>
        </is>
      </c>
      <c r="D192" s="1" t="n">
        <v>45299</v>
      </c>
      <c r="E192" s="1" t="n">
        <v>46317</v>
      </c>
      <c r="F192" t="inlineStr">
        <is>
          <t>VÄSTRA GÖTALANDS LÄN</t>
        </is>
      </c>
      <c r="G192" t="inlineStr">
        <is>
          <t>SKARA</t>
        </is>
      </c>
      <c r="I192" t="n">
        <v>0.7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t="n">
        <v>0</v>
      </c>
      <c r="S192" t="n">
        <v>0</v>
      </c>
      <c r="T192" t="n">
        <v>0</v>
      </c>
      <c r="U192" t="n">
        <v>0</v>
      </c>
      <c r="V192" s="2" t="inlineStr"/>
    </row>
    <row r="193" ht="15" customHeight="1">
      <c r="A193" t="inlineStr">
        <is>
          <t>A 39263-2026</t>
        </is>
      </c>
      <c r="B193" t="inlineStr">
        <is>
          <t>avverkningsanmälan</t>
        </is>
      </c>
      <c r="C193" t="inlineStr">
        <is>
          <t>Föryngringsavverkning</t>
        </is>
      </c>
      <c r="D193" s="1" t="n">
        <v>46288</v>
      </c>
      <c r="E193" s="1" t="n">
        <v>46317</v>
      </c>
      <c r="F193" t="inlineStr">
        <is>
          <t>VÄSTRA GÖTALANDS LÄN</t>
        </is>
      </c>
      <c r="G193" t="inlineStr">
        <is>
          <t>SKARA</t>
        </is>
      </c>
      <c r="H193" t="inlineStr">
        <is>
          <t>Sveaskog</t>
        </is>
      </c>
      <c r="I193" t="n">
        <v>1.9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t="n">
        <v>0</v>
      </c>
      <c r="S193" t="n">
        <v>0</v>
      </c>
      <c r="T193" t="n">
        <v>0</v>
      </c>
      <c r="U193" t="n">
        <v>0</v>
      </c>
      <c r="V193" s="2" t="inlineStr"/>
    </row>
    <row r="194" ht="15" customHeight="1">
      <c r="A194" t="inlineStr">
        <is>
          <t>A 39265-2026</t>
        </is>
      </c>
      <c r="B194" t="inlineStr">
        <is>
          <t>avverkningsanmälan</t>
        </is>
      </c>
      <c r="C194" t="inlineStr">
        <is>
          <t>Föryngringsavverkning</t>
        </is>
      </c>
      <c r="D194" s="1" t="n">
        <v>46288</v>
      </c>
      <c r="E194" s="1" t="n">
        <v>46317</v>
      </c>
      <c r="F194" t="inlineStr">
        <is>
          <t>VÄSTRA GÖTALANDS LÄN</t>
        </is>
      </c>
      <c r="G194" t="inlineStr">
        <is>
          <t>SKARA</t>
        </is>
      </c>
      <c r="H194" t="inlineStr">
        <is>
          <t>Sveaskog</t>
        </is>
      </c>
      <c r="I194" t="n">
        <v>1.9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t="n">
        <v>0</v>
      </c>
      <c r="S194" t="n">
        <v>0</v>
      </c>
      <c r="T194" t="n">
        <v>0</v>
      </c>
      <c r="U194" t="n">
        <v>0</v>
      </c>
      <c r="V194" s="2" t="inlineStr"/>
    </row>
    <row r="195" ht="15" customHeight="1">
      <c r="A195" t="inlineStr">
        <is>
          <t>A 8781-2024</t>
        </is>
      </c>
      <c r="B195" t="inlineStr">
        <is>
          <t>avverkningsanmälan</t>
        </is>
      </c>
      <c r="C195" t="inlineStr">
        <is>
          <t>Föryngringsavverkning</t>
        </is>
      </c>
      <c r="D195" s="1" t="n">
        <v>45356</v>
      </c>
      <c r="E195" s="1" t="n">
        <v>46317</v>
      </c>
      <c r="F195" t="inlineStr">
        <is>
          <t>VÄSTRA GÖTALANDS LÄN</t>
        </is>
      </c>
      <c r="G195" t="inlineStr">
        <is>
          <t>SKARA</t>
        </is>
      </c>
      <c r="I195" t="n">
        <v>0.8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t="n">
        <v>0</v>
      </c>
      <c r="S195" t="n">
        <v>0</v>
      </c>
      <c r="T195" t="n">
        <v>0</v>
      </c>
      <c r="U195" t="n">
        <v>0</v>
      </c>
      <c r="V195" s="2" t="inlineStr"/>
    </row>
    <row r="196" ht="15" customHeight="1">
      <c r="A196" t="inlineStr">
        <is>
          <t>A 55247-2022</t>
        </is>
      </c>
      <c r="B196" t="inlineStr">
        <is>
          <t>avverkningsanmälan</t>
        </is>
      </c>
      <c r="C196" t="inlineStr">
        <is>
          <t>Föryngringsavverkning</t>
        </is>
      </c>
      <c r="D196" s="1" t="n">
        <v>44887</v>
      </c>
      <c r="E196" s="1" t="n">
        <v>46317</v>
      </c>
      <c r="F196" t="inlineStr">
        <is>
          <t>VÄSTRA GÖTALANDS LÄN</t>
        </is>
      </c>
      <c r="G196" t="inlineStr">
        <is>
          <t>SKARA</t>
        </is>
      </c>
      <c r="I196" t="n">
        <v>2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t="n">
        <v>0</v>
      </c>
      <c r="S196" t="n">
        <v>0</v>
      </c>
      <c r="T196" t="n">
        <v>0</v>
      </c>
      <c r="U196" t="n">
        <v>0</v>
      </c>
      <c r="V196" s="2" t="inlineStr"/>
    </row>
    <row r="197" ht="15" customHeight="1">
      <c r="A197" t="inlineStr">
        <is>
          <t>A 39888-2026</t>
        </is>
      </c>
      <c r="B197" t="inlineStr">
        <is>
          <t>avverkningsanmälan</t>
        </is>
      </c>
      <c r="C197" t="inlineStr">
        <is>
          <t>Föryngringsavverkning</t>
        </is>
      </c>
      <c r="D197" s="1" t="n">
        <v>46290</v>
      </c>
      <c r="E197" s="1" t="n">
        <v>46317</v>
      </c>
      <c r="F197" t="inlineStr">
        <is>
          <t>VÄSTRA GÖTALANDS LÄN</t>
        </is>
      </c>
      <c r="G197" t="inlineStr">
        <is>
          <t>SKARA</t>
        </is>
      </c>
      <c r="I197" t="n">
        <v>0.6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t="n">
        <v>0</v>
      </c>
      <c r="S197" t="n">
        <v>0</v>
      </c>
      <c r="T197" t="n">
        <v>0</v>
      </c>
      <c r="U197" t="n">
        <v>0</v>
      </c>
      <c r="V197" s="2" t="inlineStr"/>
    </row>
    <row r="198" ht="15" customHeight="1">
      <c r="A198" t="inlineStr">
        <is>
          <t>A 27668-2022</t>
        </is>
      </c>
      <c r="B198" t="inlineStr">
        <is>
          <t>avverkningsanmälan</t>
        </is>
      </c>
      <c r="C198" t="inlineStr">
        <is>
          <t>Föryngringsavverkning</t>
        </is>
      </c>
      <c r="D198" s="1" t="n">
        <v>44743</v>
      </c>
      <c r="E198" s="1" t="n">
        <v>46317</v>
      </c>
      <c r="F198" t="inlineStr">
        <is>
          <t>VÄSTRA GÖTALANDS LÄN</t>
        </is>
      </c>
      <c r="G198" t="inlineStr">
        <is>
          <t>SKARA</t>
        </is>
      </c>
      <c r="I198" t="n">
        <v>3.7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t="n">
        <v>0</v>
      </c>
      <c r="S198" t="n">
        <v>0</v>
      </c>
      <c r="T198" t="n">
        <v>0</v>
      </c>
      <c r="U198" t="n">
        <v>0</v>
      </c>
      <c r="V198" s="2" t="inlineStr"/>
    </row>
    <row r="199" ht="15" customHeight="1">
      <c r="A199" t="inlineStr">
        <is>
          <t>A 33219-2026</t>
        </is>
      </c>
      <c r="B199" t="inlineStr">
        <is>
          <t>avverkningsanmälan</t>
        </is>
      </c>
      <c r="C199" t="inlineStr">
        <is>
          <t>Föryngringsavverkning</t>
        </is>
      </c>
      <c r="D199" s="1" t="n">
        <v>46246</v>
      </c>
      <c r="E199" s="1" t="n">
        <v>46317</v>
      </c>
      <c r="F199" t="inlineStr">
        <is>
          <t>VÄSTRA GÖTALANDS LÄN</t>
        </is>
      </c>
      <c r="G199" t="inlineStr">
        <is>
          <t>SKARA</t>
        </is>
      </c>
      <c r="H199" t="inlineStr">
        <is>
          <t>Sveaskog</t>
        </is>
      </c>
      <c r="I199" t="n">
        <v>3.9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t="n">
        <v>0</v>
      </c>
      <c r="S199" t="n">
        <v>0</v>
      </c>
      <c r="T199" t="n">
        <v>0</v>
      </c>
      <c r="U199" t="n">
        <v>0</v>
      </c>
      <c r="V199" s="2" t="inlineStr"/>
    </row>
    <row r="200" ht="15" customHeight="1">
      <c r="A200" t="inlineStr">
        <is>
          <t>A 33469-2026</t>
        </is>
      </c>
      <c r="B200" t="inlineStr">
        <is>
          <t>avverkningsanmälan</t>
        </is>
      </c>
      <c r="C200" t="inlineStr">
        <is>
          <t>Föryngringsavverkning</t>
        </is>
      </c>
      <c r="D200" s="1" t="n">
        <v>46247</v>
      </c>
      <c r="E200" s="1" t="n">
        <v>46317</v>
      </c>
      <c r="F200" t="inlineStr">
        <is>
          <t>VÄSTRA GÖTALANDS LÄN</t>
        </is>
      </c>
      <c r="G200" t="inlineStr">
        <is>
          <t>SKARA</t>
        </is>
      </c>
      <c r="H200" t="inlineStr">
        <is>
          <t>Sveaskog</t>
        </is>
      </c>
      <c r="I200" t="n">
        <v>1.7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t="n">
        <v>0</v>
      </c>
      <c r="S200" t="n">
        <v>0</v>
      </c>
      <c r="T200" t="n">
        <v>0</v>
      </c>
      <c r="U200" t="n">
        <v>0</v>
      </c>
      <c r="V200" s="2" t="inlineStr"/>
    </row>
    <row r="201" ht="15" customHeight="1">
      <c r="A201" t="inlineStr">
        <is>
          <t>A 33190-2026</t>
        </is>
      </c>
      <c r="B201" t="inlineStr">
        <is>
          <t>avverkningsanmälan</t>
        </is>
      </c>
      <c r="C201" t="inlineStr">
        <is>
          <t>Föryngringsavverkning</t>
        </is>
      </c>
      <c r="D201" s="1" t="n">
        <v>46246</v>
      </c>
      <c r="E201" s="1" t="n">
        <v>46317</v>
      </c>
      <c r="F201" t="inlineStr">
        <is>
          <t>VÄSTRA GÖTALANDS LÄN</t>
        </is>
      </c>
      <c r="G201" t="inlineStr">
        <is>
          <t>SKARA</t>
        </is>
      </c>
      <c r="H201" t="inlineStr">
        <is>
          <t>Kyrkan</t>
        </is>
      </c>
      <c r="I201" t="n">
        <v>4.7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t="n">
        <v>0</v>
      </c>
      <c r="S201" t="n">
        <v>0</v>
      </c>
      <c r="T201" t="n">
        <v>0</v>
      </c>
      <c r="U201" t="n">
        <v>0</v>
      </c>
      <c r="V201" s="2" t="inlineStr"/>
    </row>
    <row r="202" ht="15" customHeight="1">
      <c r="A202" t="inlineStr">
        <is>
          <t>A 40357-2026</t>
        </is>
      </c>
      <c r="B202" t="inlineStr">
        <is>
          <t>avverkningsanmälan</t>
        </is>
      </c>
      <c r="C202" t="inlineStr">
        <is>
          <t>Föryngringsavverkning</t>
        </is>
      </c>
      <c r="D202" s="1" t="n">
        <v>46294</v>
      </c>
      <c r="E202" s="1" t="n">
        <v>46317</v>
      </c>
      <c r="F202" t="inlineStr">
        <is>
          <t>VÄSTRA GÖTALANDS LÄN</t>
        </is>
      </c>
      <c r="G202" t="inlineStr">
        <is>
          <t>SKARA</t>
        </is>
      </c>
      <c r="I202" t="n">
        <v>2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t="n">
        <v>0</v>
      </c>
      <c r="S202" t="n">
        <v>0</v>
      </c>
      <c r="T202" t="n">
        <v>0</v>
      </c>
      <c r="U202" t="n">
        <v>0</v>
      </c>
      <c r="V202" s="2" t="inlineStr"/>
    </row>
    <row r="203" ht="15" customHeight="1">
      <c r="A203" t="inlineStr">
        <is>
          <t>A 40286-2026</t>
        </is>
      </c>
      <c r="B203" t="inlineStr">
        <is>
          <t>avverkningsanmälan</t>
        </is>
      </c>
      <c r="C203" t="inlineStr">
        <is>
          <t>Föryngringsavverkning</t>
        </is>
      </c>
      <c r="D203" s="1" t="n">
        <v>46294</v>
      </c>
      <c r="E203" s="1" t="n">
        <v>46317</v>
      </c>
      <c r="F203" t="inlineStr">
        <is>
          <t>VÄSTRA GÖTALANDS LÄN</t>
        </is>
      </c>
      <c r="G203" t="inlineStr">
        <is>
          <t>SKARA</t>
        </is>
      </c>
      <c r="I203" t="n">
        <v>4.1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t="n">
        <v>0</v>
      </c>
      <c r="S203" t="n">
        <v>0</v>
      </c>
      <c r="T203" t="n">
        <v>0</v>
      </c>
      <c r="U203" t="n">
        <v>0</v>
      </c>
      <c r="V203" s="2" t="inlineStr"/>
    </row>
    <row r="204" ht="15" customHeight="1">
      <c r="A204" t="inlineStr">
        <is>
          <t>A 40319-2026</t>
        </is>
      </c>
      <c r="B204" t="inlineStr">
        <is>
          <t>avverkningsanmälan</t>
        </is>
      </c>
      <c r="C204" t="inlineStr">
        <is>
          <t>Föryngringsavverkning</t>
        </is>
      </c>
      <c r="D204" s="1" t="n">
        <v>46294</v>
      </c>
      <c r="E204" s="1" t="n">
        <v>46317</v>
      </c>
      <c r="F204" t="inlineStr">
        <is>
          <t>VÄSTRA GÖTALANDS LÄN</t>
        </is>
      </c>
      <c r="G204" t="inlineStr">
        <is>
          <t>SKARA</t>
        </is>
      </c>
      <c r="I204" t="n">
        <v>2.3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t="n">
        <v>0</v>
      </c>
      <c r="S204" t="n">
        <v>0</v>
      </c>
      <c r="T204" t="n">
        <v>0</v>
      </c>
      <c r="U204" t="n">
        <v>0</v>
      </c>
      <c r="V204" s="2" t="inlineStr"/>
    </row>
    <row r="205" ht="15" customHeight="1">
      <c r="A205" t="inlineStr">
        <is>
          <t>A 56922-2024</t>
        </is>
      </c>
      <c r="B205" t="inlineStr">
        <is>
          <t>avverkningsanmälan</t>
        </is>
      </c>
      <c r="C205" t="inlineStr">
        <is>
          <t>Föryngringsavverkning</t>
        </is>
      </c>
      <c r="D205" s="1" t="n">
        <v>45628</v>
      </c>
      <c r="E205" s="1" t="n">
        <v>46317</v>
      </c>
      <c r="F205" t="inlineStr">
        <is>
          <t>VÄSTRA GÖTALANDS LÄN</t>
        </is>
      </c>
      <c r="G205" t="inlineStr">
        <is>
          <t>SKARA</t>
        </is>
      </c>
      <c r="I205" t="n">
        <v>0.6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t="n">
        <v>0</v>
      </c>
      <c r="S205" t="n">
        <v>0</v>
      </c>
      <c r="T205" t="n">
        <v>0</v>
      </c>
      <c r="U205" t="n">
        <v>0</v>
      </c>
      <c r="V205" s="2" t="inlineStr"/>
    </row>
    <row r="206" ht="15" customHeight="1">
      <c r="A206" t="inlineStr">
        <is>
          <t>A 8701-2023</t>
        </is>
      </c>
      <c r="B206" t="inlineStr">
        <is>
          <t>avverkningsanmälan</t>
        </is>
      </c>
      <c r="C206" t="inlineStr">
        <is>
          <t>Föryngringsavverkning</t>
        </is>
      </c>
      <c r="D206" s="1" t="n">
        <v>44978</v>
      </c>
      <c r="E206" s="1" t="n">
        <v>46317</v>
      </c>
      <c r="F206" t="inlineStr">
        <is>
          <t>VÄSTRA GÖTALANDS LÄN</t>
        </is>
      </c>
      <c r="G206" t="inlineStr">
        <is>
          <t>SKARA</t>
        </is>
      </c>
      <c r="I206" t="n">
        <v>1.7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t="n">
        <v>0</v>
      </c>
      <c r="S206" t="n">
        <v>0</v>
      </c>
      <c r="T206" t="n">
        <v>0</v>
      </c>
      <c r="U206" t="n">
        <v>0</v>
      </c>
      <c r="V206" s="2" t="inlineStr"/>
    </row>
    <row r="207" ht="15" customHeight="1">
      <c r="A207" t="inlineStr">
        <is>
          <t>A 40359-2026</t>
        </is>
      </c>
      <c r="B207" t="inlineStr">
        <is>
          <t>avverkningsanmälan</t>
        </is>
      </c>
      <c r="C207" t="inlineStr">
        <is>
          <t>Föryngringsavverkning</t>
        </is>
      </c>
      <c r="D207" s="1" t="n">
        <v>46294</v>
      </c>
      <c r="E207" s="1" t="n">
        <v>46317</v>
      </c>
      <c r="F207" t="inlineStr">
        <is>
          <t>VÄSTRA GÖTALANDS LÄN</t>
        </is>
      </c>
      <c r="G207" t="inlineStr">
        <is>
          <t>SKARA</t>
        </is>
      </c>
      <c r="I207" t="n">
        <v>3.2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t="n">
        <v>0</v>
      </c>
      <c r="S207" t="n">
        <v>0</v>
      </c>
      <c r="T207" t="n">
        <v>0</v>
      </c>
      <c r="U207" t="n">
        <v>0</v>
      </c>
      <c r="V207" s="2" t="inlineStr"/>
    </row>
    <row r="208" ht="15" customHeight="1">
      <c r="A208" t="inlineStr">
        <is>
          <t>A 40366-2026</t>
        </is>
      </c>
      <c r="B208" t="inlineStr">
        <is>
          <t>avverkningsanmälan</t>
        </is>
      </c>
      <c r="C208" t="inlineStr">
        <is>
          <t>Föryngringsavverkning</t>
        </is>
      </c>
      <c r="D208" s="1" t="n">
        <v>46294</v>
      </c>
      <c r="E208" s="1" t="n">
        <v>46317</v>
      </c>
      <c r="F208" t="inlineStr">
        <is>
          <t>VÄSTRA GÖTALANDS LÄN</t>
        </is>
      </c>
      <c r="G208" t="inlineStr">
        <is>
          <t>SKARA</t>
        </is>
      </c>
      <c r="I208" t="n">
        <v>7.6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t="n">
        <v>0</v>
      </c>
      <c r="S208" t="n">
        <v>0</v>
      </c>
      <c r="T208" t="n">
        <v>0</v>
      </c>
      <c r="U208" t="n">
        <v>0</v>
      </c>
      <c r="V208" s="2" t="inlineStr"/>
    </row>
    <row r="209" ht="15" customHeight="1">
      <c r="A209" t="inlineStr">
        <is>
          <t>A 40369-2026</t>
        </is>
      </c>
      <c r="B209" t="inlineStr">
        <is>
          <t>avverkningsanmälan</t>
        </is>
      </c>
      <c r="C209" t="inlineStr">
        <is>
          <t>Föryngringsavverkning</t>
        </is>
      </c>
      <c r="D209" s="1" t="n">
        <v>46294</v>
      </c>
      <c r="E209" s="1" t="n">
        <v>46317</v>
      </c>
      <c r="F209" t="inlineStr">
        <is>
          <t>VÄSTRA GÖTALANDS LÄN</t>
        </is>
      </c>
      <c r="G209" t="inlineStr">
        <is>
          <t>SKARA</t>
        </is>
      </c>
      <c r="I209" t="n">
        <v>4.6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t="n">
        <v>0</v>
      </c>
      <c r="S209" t="n">
        <v>0</v>
      </c>
      <c r="T209" t="n">
        <v>0</v>
      </c>
      <c r="U209" t="n">
        <v>0</v>
      </c>
      <c r="V209" s="2" t="inlineStr"/>
    </row>
    <row r="210" ht="15" customHeight="1">
      <c r="A210" t="inlineStr">
        <is>
          <t>A 40371-2026</t>
        </is>
      </c>
      <c r="B210" t="inlineStr">
        <is>
          <t>avverkningsanmälan</t>
        </is>
      </c>
      <c r="C210" t="inlineStr">
        <is>
          <t>Föryngringsavverkning</t>
        </is>
      </c>
      <c r="D210" s="1" t="n">
        <v>46294</v>
      </c>
      <c r="E210" s="1" t="n">
        <v>46317</v>
      </c>
      <c r="F210" t="inlineStr">
        <is>
          <t>VÄSTRA GÖTALANDS LÄN</t>
        </is>
      </c>
      <c r="G210" t="inlineStr">
        <is>
          <t>SKARA</t>
        </is>
      </c>
      <c r="I210" t="n">
        <v>5.8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t="n">
        <v>0</v>
      </c>
      <c r="S210" t="n">
        <v>0</v>
      </c>
      <c r="T210" t="n">
        <v>0</v>
      </c>
      <c r="U210" t="n">
        <v>0</v>
      </c>
      <c r="V210" s="2" t="inlineStr"/>
    </row>
    <row r="211" ht="15" customHeight="1">
      <c r="A211" t="inlineStr">
        <is>
          <t>A 17705-2025</t>
        </is>
      </c>
      <c r="B211" t="inlineStr">
        <is>
          <t>avverkningsanmälan</t>
        </is>
      </c>
      <c r="C211" t="inlineStr">
        <is>
          <t>Föryngringsavverkning</t>
        </is>
      </c>
      <c r="D211" s="1" t="n">
        <v>45758</v>
      </c>
      <c r="E211" s="1" t="n">
        <v>46317</v>
      </c>
      <c r="F211" t="inlineStr">
        <is>
          <t>VÄSTRA GÖTALANDS LÄN</t>
        </is>
      </c>
      <c r="G211" t="inlineStr">
        <is>
          <t>SKARA</t>
        </is>
      </c>
      <c r="H211" t="inlineStr">
        <is>
          <t>Sveaskog</t>
        </is>
      </c>
      <c r="I211" t="n">
        <v>1.5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t="n">
        <v>0</v>
      </c>
      <c r="S211" t="n">
        <v>0</v>
      </c>
      <c r="T211" t="n">
        <v>0</v>
      </c>
      <c r="U211" t="n">
        <v>0</v>
      </c>
      <c r="V211" s="2" t="inlineStr"/>
    </row>
    <row r="212" ht="15" customHeight="1">
      <c r="A212" t="inlineStr">
        <is>
          <t>A 17709-2025</t>
        </is>
      </c>
      <c r="B212" t="inlineStr">
        <is>
          <t>avverkningsanmälan</t>
        </is>
      </c>
      <c r="C212" t="inlineStr">
        <is>
          <t>Föryngringsavverkning</t>
        </is>
      </c>
      <c r="D212" s="1" t="n">
        <v>45758</v>
      </c>
      <c r="E212" s="1" t="n">
        <v>46317</v>
      </c>
      <c r="F212" t="inlineStr">
        <is>
          <t>VÄSTRA GÖTALANDS LÄN</t>
        </is>
      </c>
      <c r="G212" t="inlineStr">
        <is>
          <t>SKARA</t>
        </is>
      </c>
      <c r="H212" t="inlineStr">
        <is>
          <t>Sveaskog</t>
        </is>
      </c>
      <c r="I212" t="n">
        <v>2.8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t="n">
        <v>0</v>
      </c>
      <c r="S212" t="n">
        <v>0</v>
      </c>
      <c r="T212" t="n">
        <v>0</v>
      </c>
      <c r="U212" t="n">
        <v>0</v>
      </c>
      <c r="V212" s="2" t="inlineStr"/>
    </row>
    <row r="213" ht="15" customHeight="1">
      <c r="A213" t="inlineStr">
        <is>
          <t>A 2590-2024</t>
        </is>
      </c>
      <c r="B213" t="inlineStr">
        <is>
          <t>avverkningsanmälan</t>
        </is>
      </c>
      <c r="C213" t="inlineStr">
        <is>
          <t>Avverkning för annat ändamål</t>
        </is>
      </c>
      <c r="D213" s="1" t="n">
        <v>45313</v>
      </c>
      <c r="E213" s="1" t="n">
        <v>46317</v>
      </c>
      <c r="F213" t="inlineStr">
        <is>
          <t>VÄSTRA GÖTALANDS LÄN</t>
        </is>
      </c>
      <c r="G213" t="inlineStr">
        <is>
          <t>SKARA</t>
        </is>
      </c>
      <c r="I213" t="n">
        <v>11.7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t="n">
        <v>0</v>
      </c>
      <c r="S213" t="n">
        <v>0</v>
      </c>
      <c r="T213" t="n">
        <v>0</v>
      </c>
      <c r="U213" t="n">
        <v>0</v>
      </c>
      <c r="V213" s="2" t="inlineStr"/>
    </row>
    <row r="214" ht="15" customHeight="1">
      <c r="A214" t="inlineStr">
        <is>
          <t>A 59841-2024</t>
        </is>
      </c>
      <c r="B214" t="inlineStr">
        <is>
          <t>avverkningsanmälan</t>
        </is>
      </c>
      <c r="C214" t="inlineStr">
        <is>
          <t>Föryngringsavverkning</t>
        </is>
      </c>
      <c r="D214" s="1" t="n">
        <v>45639</v>
      </c>
      <c r="E214" s="1" t="n">
        <v>46317</v>
      </c>
      <c r="F214" t="inlineStr">
        <is>
          <t>VÄSTRA GÖTALANDS LÄN</t>
        </is>
      </c>
      <c r="G214" t="inlineStr">
        <is>
          <t>SKARA</t>
        </is>
      </c>
      <c r="I214" t="n">
        <v>4.1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t="n">
        <v>0</v>
      </c>
      <c r="S214" t="n">
        <v>0</v>
      </c>
      <c r="T214" t="n">
        <v>0</v>
      </c>
      <c r="U214" t="n">
        <v>0</v>
      </c>
      <c r="V214" s="2" t="inlineStr"/>
    </row>
    <row r="215" ht="15" customHeight="1">
      <c r="A215" t="inlineStr">
        <is>
          <t>A 41260-2026</t>
        </is>
      </c>
      <c r="B215" t="inlineStr">
        <is>
          <t>avverkningsanmälan</t>
        </is>
      </c>
      <c r="C215" t="inlineStr">
        <is>
          <t>Avverkning för att bevara och utveckla /försöksver</t>
        </is>
      </c>
      <c r="D215" s="1" t="n">
        <v>46300</v>
      </c>
      <c r="E215" s="1" t="n">
        <v>46317</v>
      </c>
      <c r="F215" t="inlineStr">
        <is>
          <t>VÄSTRA GÖTALANDS LÄN</t>
        </is>
      </c>
      <c r="G215" t="inlineStr">
        <is>
          <t>SKARA</t>
        </is>
      </c>
      <c r="I215" t="n">
        <v>3.9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t="n">
        <v>0</v>
      </c>
      <c r="S215" t="n">
        <v>0</v>
      </c>
      <c r="T215" t="n">
        <v>0</v>
      </c>
      <c r="U215" t="n">
        <v>0</v>
      </c>
      <c r="V215" s="2" t="inlineStr"/>
    </row>
    <row r="216" ht="15" customHeight="1">
      <c r="A216" t="inlineStr">
        <is>
          <t>A 49435-2024</t>
        </is>
      </c>
      <c r="B216" t="inlineStr">
        <is>
          <t>avverkningsanmälan</t>
        </is>
      </c>
      <c r="C216" t="inlineStr">
        <is>
          <t>Föryngringsavverkning</t>
        </is>
      </c>
      <c r="D216" s="1" t="n">
        <v>45595</v>
      </c>
      <c r="E216" s="1" t="n">
        <v>46317</v>
      </c>
      <c r="F216" t="inlineStr">
        <is>
          <t>VÄSTRA GÖTALANDS LÄN</t>
        </is>
      </c>
      <c r="G216" t="inlineStr">
        <is>
          <t>SKARA</t>
        </is>
      </c>
      <c r="I216" t="n">
        <v>3.5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t="n">
        <v>0</v>
      </c>
      <c r="S216" t="n">
        <v>0</v>
      </c>
      <c r="T216" t="n">
        <v>0</v>
      </c>
      <c r="U216" t="n">
        <v>0</v>
      </c>
      <c r="V216" s="2" t="inlineStr"/>
    </row>
    <row r="217" ht="15" customHeight="1">
      <c r="A217" t="inlineStr">
        <is>
          <t>A 58683-2024</t>
        </is>
      </c>
      <c r="B217" t="inlineStr">
        <is>
          <t>avverkningsanmälan</t>
        </is>
      </c>
      <c r="C217" t="inlineStr">
        <is>
          <t>Föryngringsavverkning</t>
        </is>
      </c>
      <c r="D217" s="1" t="n">
        <v>45635</v>
      </c>
      <c r="E217" s="1" t="n">
        <v>46317</v>
      </c>
      <c r="F217" t="inlineStr">
        <is>
          <t>VÄSTRA GÖTALANDS LÄN</t>
        </is>
      </c>
      <c r="G217" t="inlineStr">
        <is>
          <t>SKARA</t>
        </is>
      </c>
      <c r="I217" t="n">
        <v>9.199999999999999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t="n">
        <v>0</v>
      </c>
      <c r="S217" t="n">
        <v>0</v>
      </c>
      <c r="T217" t="n">
        <v>0</v>
      </c>
      <c r="U217" t="n">
        <v>0</v>
      </c>
      <c r="V217" s="2" t="inlineStr"/>
    </row>
    <row r="218" ht="15" customHeight="1">
      <c r="A218" t="inlineStr">
        <is>
          <t>A 34752-2026</t>
        </is>
      </c>
      <c r="B218" t="inlineStr">
        <is>
          <t>avverkningsanmälan</t>
        </is>
      </c>
      <c r="C218" t="inlineStr">
        <is>
          <t>Föryngringsavverkning</t>
        </is>
      </c>
      <c r="D218" s="1" t="n">
        <v>46258</v>
      </c>
      <c r="E218" s="1" t="n">
        <v>46317</v>
      </c>
      <c r="F218" t="inlineStr">
        <is>
          <t>VÄSTRA GÖTALANDS LÄN</t>
        </is>
      </c>
      <c r="G218" t="inlineStr">
        <is>
          <t>SKARA</t>
        </is>
      </c>
      <c r="I218" t="n">
        <v>0.5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t="n">
        <v>0</v>
      </c>
      <c r="S218" t="n">
        <v>0</v>
      </c>
      <c r="T218" t="n">
        <v>0</v>
      </c>
      <c r="U218" t="n">
        <v>0</v>
      </c>
      <c r="V218" s="2" t="inlineStr"/>
    </row>
    <row r="219" ht="15" customHeight="1">
      <c r="A219" t="inlineStr">
        <is>
          <t>A 38149-2026</t>
        </is>
      </c>
      <c r="B219" t="inlineStr">
        <is>
          <t>avverkningsanmälan</t>
        </is>
      </c>
      <c r="C219" t="inlineStr">
        <is>
          <t>Föryngringsavverkning</t>
        </is>
      </c>
      <c r="D219" s="1" t="n">
        <v>46281</v>
      </c>
      <c r="E219" s="1" t="n">
        <v>46317</v>
      </c>
      <c r="F219" t="inlineStr">
        <is>
          <t>VÄSTRA GÖTALANDS LÄN</t>
        </is>
      </c>
      <c r="G219" t="inlineStr">
        <is>
          <t>SKARA</t>
        </is>
      </c>
      <c r="I219" t="n">
        <v>0.8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t="n">
        <v>0</v>
      </c>
      <c r="S219" t="n">
        <v>0</v>
      </c>
      <c r="T219" t="n">
        <v>0</v>
      </c>
      <c r="U219" t="n">
        <v>0</v>
      </c>
      <c r="V219" s="2" t="inlineStr"/>
    </row>
    <row r="220" ht="15" customHeight="1">
      <c r="A220" t="inlineStr">
        <is>
          <t>A 38146-2026</t>
        </is>
      </c>
      <c r="B220" t="inlineStr">
        <is>
          <t>avverkningsanmälan</t>
        </is>
      </c>
      <c r="C220" t="inlineStr">
        <is>
          <t>Föryngringsavverkning</t>
        </is>
      </c>
      <c r="D220" s="1" t="n">
        <v>46281</v>
      </c>
      <c r="E220" s="1" t="n">
        <v>46317</v>
      </c>
      <c r="F220" t="inlineStr">
        <is>
          <t>VÄSTRA GÖTALANDS LÄN</t>
        </is>
      </c>
      <c r="G220" t="inlineStr">
        <is>
          <t>SKARA</t>
        </is>
      </c>
      <c r="I220" t="n">
        <v>2.3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t="n">
        <v>0</v>
      </c>
      <c r="S220" t="n">
        <v>0</v>
      </c>
      <c r="T220" t="n">
        <v>0</v>
      </c>
      <c r="U220" t="n">
        <v>0</v>
      </c>
      <c r="V220" s="2" t="inlineStr"/>
    </row>
    <row r="221" ht="15" customHeight="1">
      <c r="A221" t="inlineStr">
        <is>
          <t>S 1236-2022</t>
        </is>
      </c>
      <c r="B221" t="inlineStr">
        <is>
          <t>samrådsanmälan</t>
        </is>
      </c>
      <c r="C221" t="n">
        <v/>
      </c>
      <c r="D221" s="1" t="n">
        <v>44623</v>
      </c>
      <c r="E221" s="1" t="n">
        <v>46317</v>
      </c>
      <c r="F221" t="inlineStr">
        <is>
          <t>VÄSTRA GÖTALANDS LÄN</t>
        </is>
      </c>
      <c r="G221" t="inlineStr">
        <is>
          <t>SKARA</t>
        </is>
      </c>
      <c r="I221" t="n">
        <v>0.1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t="n">
        <v>0</v>
      </c>
      <c r="S221" t="n">
        <v>0</v>
      </c>
      <c r="T221" t="n">
        <v>0</v>
      </c>
      <c r="U221" t="n">
        <v>0</v>
      </c>
      <c r="V221" s="2" t="inlineStr"/>
    </row>
    <row r="222">
      <c r="A222" t="inlineStr">
        <is>
          <t>S 839-2024</t>
        </is>
      </c>
      <c r="B222" t="inlineStr">
        <is>
          <t>samrådsanmälan</t>
        </is>
      </c>
      <c r="C222" t="inlineStr">
        <is>
          <t>Askåterföring</t>
        </is>
      </c>
      <c r="D222" s="1" t="n">
        <v>45372</v>
      </c>
      <c r="E222" s="1" t="n">
        <v>46317</v>
      </c>
      <c r="F222" t="inlineStr">
        <is>
          <t>VÄSTRA GÖTALANDS LÄN</t>
        </is>
      </c>
      <c r="G222" t="inlineStr">
        <is>
          <t>SKARA</t>
        </is>
      </c>
      <c r="I222" t="n">
        <v>19.6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t="n">
        <v>0</v>
      </c>
      <c r="S222" t="n">
        <v>0</v>
      </c>
      <c r="T222" t="n">
        <v>0</v>
      </c>
      <c r="U222" t="n">
        <v>0</v>
      </c>
      <c r="V222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2026-10-22T01:55:19Z</dcterms:created>
  <dcterms:modified xmlns:dcterms="http://purl.org/dc/terms/" xmlns:xsi="http://www.w3.org/2001/XMLSchema-instance" xsi:type="dcterms:W3CDTF">2026-10-22T01:55:19Z</dcterms:modified>
</cp:coreProperties>
</file>