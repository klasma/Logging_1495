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46200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46200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46200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46200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46200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46200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46200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46200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30080-2023</t>
        </is>
      </c>
      <c r="B10" s="1" t="n">
        <v>45110</v>
      </c>
      <c r="C10" s="1" t="n">
        <v>46200</v>
      </c>
      <c r="D10" t="inlineStr">
        <is>
          <t>VÄSTRA GÖTALANDS LÄN</t>
        </is>
      </c>
      <c r="E10" t="inlineStr">
        <is>
          <t>SKARA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HYPERLINK("https://klasma.github.io/Logging_1495/artfynd/A 30080-2023 artfynd.xlsx", "A 30080-2023")</f>
        <v/>
      </c>
      <c r="T10">
        <f>HYPERLINK("https://klasma.github.io/Logging_1495/kartor/A 30080-2023 karta.png", "A 30080-2023")</f>
        <v/>
      </c>
      <c r="V10">
        <f>HYPERLINK("https://klasma.github.io/Logging_1495/klagomål/A 30080-2023 FSC-klagomål.docx", "A 30080-2023")</f>
        <v/>
      </c>
      <c r="W10">
        <f>HYPERLINK("https://klasma.github.io/Logging_1495/klagomålsmail/A 30080-2023 FSC-klagomål mail.docx", "A 30080-2023")</f>
        <v/>
      </c>
      <c r="X10">
        <f>HYPERLINK("https://klasma.github.io/Logging_1495/tillsyn/A 30080-2023 tillsynsbegäran.docx", "A 30080-2023")</f>
        <v/>
      </c>
      <c r="Y10">
        <f>HYPERLINK("https://klasma.github.io/Logging_1495/tillsynsmail/A 30080-2023 tillsynsbegäran mail.docx", "A 30080-2023")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46200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20063-2025</t>
        </is>
      </c>
      <c r="B12" s="1" t="n">
        <v>45772</v>
      </c>
      <c r="C12" s="1" t="n">
        <v>46200</v>
      </c>
      <c r="D12" t="inlineStr">
        <is>
          <t>VÄSTRA GÖTALANDS LÄN</t>
        </is>
      </c>
      <c r="E12" t="inlineStr">
        <is>
          <t>SKARA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Skinntagging</t>
        </is>
      </c>
      <c r="S12">
        <f>HYPERLINK("https://klasma.github.io/Logging_1495/artfynd/A 20063-2025 artfynd.xlsx", "A 20063-2025")</f>
        <v/>
      </c>
      <c r="T12">
        <f>HYPERLINK("https://klasma.github.io/Logging_1495/kartor/A 20063-2025 karta.png", "A 20063-2025")</f>
        <v/>
      </c>
      <c r="V12">
        <f>HYPERLINK("https://klasma.github.io/Logging_1495/klagomål/A 20063-2025 FSC-klagomål.docx", "A 20063-2025")</f>
        <v/>
      </c>
      <c r="W12">
        <f>HYPERLINK("https://klasma.github.io/Logging_1495/klagomålsmail/A 20063-2025 FSC-klagomål mail.docx", "A 20063-2025")</f>
        <v/>
      </c>
      <c r="X12">
        <f>HYPERLINK("https://klasma.github.io/Logging_1495/tillsyn/A 20063-2025 tillsynsbegäran.docx", "A 20063-2025")</f>
        <v/>
      </c>
      <c r="Y12">
        <f>HYPERLINK("https://klasma.github.io/Logging_1495/tillsynsmail/A 20063-2025 tillsynsbegäran mail.docx", "A 20063-2025")</f>
        <v/>
      </c>
    </row>
    <row r="13" ht="15" customHeight="1">
      <c r="A13" t="inlineStr">
        <is>
          <t>A 52041-2023</t>
        </is>
      </c>
      <c r="B13" s="1" t="n">
        <v>45223</v>
      </c>
      <c r="C13" s="1" t="n">
        <v>46200</v>
      </c>
      <c r="D13" t="inlineStr">
        <is>
          <t>VÄSTRA GÖTALANDS LÄN</t>
        </is>
      </c>
      <c r="E13" t="inlineStr">
        <is>
          <t>SKARA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52041-2023 artfynd.xlsx", "A 52041-2023")</f>
        <v/>
      </c>
      <c r="T13">
        <f>HYPERLINK("https://klasma.github.io/Logging_1495/kartor/A 52041-2023 karta.png", "A 52041-2023")</f>
        <v/>
      </c>
      <c r="V13">
        <f>HYPERLINK("https://klasma.github.io/Logging_1495/klagomål/A 52041-2023 FSC-klagomål.docx", "A 52041-2023")</f>
        <v/>
      </c>
      <c r="W13">
        <f>HYPERLINK("https://klasma.github.io/Logging_1495/klagomålsmail/A 52041-2023 FSC-klagomål mail.docx", "A 52041-2023")</f>
        <v/>
      </c>
      <c r="X13">
        <f>HYPERLINK("https://klasma.github.io/Logging_1495/tillsyn/A 52041-2023 tillsynsbegäran.docx", "A 52041-2023")</f>
        <v/>
      </c>
      <c r="Y13">
        <f>HYPERLINK("https://klasma.github.io/Logging_1495/tillsynsmail/A 52041-2023 tillsynsbegäran mail.docx", "A 52041-2023")</f>
        <v/>
      </c>
    </row>
    <row r="14" ht="15" customHeight="1">
      <c r="A14" t="inlineStr">
        <is>
          <t>A 55928-2025</t>
        </is>
      </c>
      <c r="B14" s="1" t="n">
        <v>45973</v>
      </c>
      <c r="C14" s="1" t="n">
        <v>46200</v>
      </c>
      <c r="D14" t="inlineStr">
        <is>
          <t>VÄSTRA GÖTALANDS LÄN</t>
        </is>
      </c>
      <c r="E14" t="inlineStr">
        <is>
          <t>SKARA</t>
        </is>
      </c>
      <c r="F14" t="inlineStr">
        <is>
          <t>Sveaskog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HYPERLINK("https://klasma.github.io/Logging_1495/artfynd/A 55928-2025 artfynd.xlsx", "A 55928-2025")</f>
        <v/>
      </c>
      <c r="T14">
        <f>HYPERLINK("https://klasma.github.io/Logging_1495/kartor/A 55928-2025 karta.png", "A 55928-2025")</f>
        <v/>
      </c>
      <c r="V14">
        <f>HYPERLINK("https://klasma.github.io/Logging_1495/klagomål/A 55928-2025 FSC-klagomål.docx", "A 55928-2025")</f>
        <v/>
      </c>
      <c r="W14">
        <f>HYPERLINK("https://klasma.github.io/Logging_1495/klagomålsmail/A 55928-2025 FSC-klagomål mail.docx", "A 55928-2025")</f>
        <v/>
      </c>
      <c r="X14">
        <f>HYPERLINK("https://klasma.github.io/Logging_1495/tillsyn/A 55928-2025 tillsynsbegäran.docx", "A 55928-2025")</f>
        <v/>
      </c>
      <c r="Y14">
        <f>HYPERLINK("https://klasma.github.io/Logging_1495/tillsynsmail/A 55928-2025 tillsynsbegäran mail.docx", "A 55928-2025")</f>
        <v/>
      </c>
    </row>
    <row r="15" ht="15" customHeight="1">
      <c r="A15" t="inlineStr">
        <is>
          <t>A 56787-2025</t>
        </is>
      </c>
      <c r="B15" s="1" t="n">
        <v>45978</v>
      </c>
      <c r="C15" s="1" t="n">
        <v>46200</v>
      </c>
      <c r="D15" t="inlineStr">
        <is>
          <t>VÄSTRA GÖTALANDS LÄN</t>
        </is>
      </c>
      <c r="E15" t="inlineStr">
        <is>
          <t>SKARA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HYPERLINK("https://klasma.github.io/Logging_1495/artfynd/A 56787-2025 artfynd.xlsx", "A 56787-2025")</f>
        <v/>
      </c>
      <c r="T15">
        <f>HYPERLINK("https://klasma.github.io/Logging_1495/kartor/A 56787-2025 karta.png", "A 56787-2025")</f>
        <v/>
      </c>
      <c r="V15">
        <f>HYPERLINK("https://klasma.github.io/Logging_1495/klagomål/A 56787-2025 FSC-klagomål.docx", "A 56787-2025")</f>
        <v/>
      </c>
      <c r="W15">
        <f>HYPERLINK("https://klasma.github.io/Logging_1495/klagomålsmail/A 56787-2025 FSC-klagomål mail.docx", "A 56787-2025")</f>
        <v/>
      </c>
      <c r="X15">
        <f>HYPERLINK("https://klasma.github.io/Logging_1495/tillsyn/A 56787-2025 tillsynsbegäran.docx", "A 56787-2025")</f>
        <v/>
      </c>
      <c r="Y15">
        <f>HYPERLINK("https://klasma.github.io/Logging_1495/tillsynsmail/A 56787-2025 tillsynsbegäran mail.docx", "A 56787-2025")</f>
        <v/>
      </c>
    </row>
    <row r="16" ht="15" customHeight="1">
      <c r="A16" t="inlineStr">
        <is>
          <t>A 23455-2026</t>
        </is>
      </c>
      <c r="B16" s="1" t="n">
        <v>46163</v>
      </c>
      <c r="C16" s="1" t="n">
        <v>46200</v>
      </c>
      <c r="D16" t="inlineStr">
        <is>
          <t>VÄSTRA GÖTALANDS LÄN</t>
        </is>
      </c>
      <c r="E16" t="inlineStr">
        <is>
          <t>SKARA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HYPERLINK("https://klasma.github.io/Logging_1495/artfynd/A 23455-2026 artfynd.xlsx", "A 23455-2026")</f>
        <v/>
      </c>
      <c r="T16">
        <f>HYPERLINK("https://klasma.github.io/Logging_1495/kartor/A 23455-2026 karta.png", "A 23455-2026")</f>
        <v/>
      </c>
      <c r="V16">
        <f>HYPERLINK("https://klasma.github.io/Logging_1495/klagomål/A 23455-2026 FSC-klagomål.docx", "A 23455-2026")</f>
        <v/>
      </c>
      <c r="W16">
        <f>HYPERLINK("https://klasma.github.io/Logging_1495/klagomålsmail/A 23455-2026 FSC-klagomål mail.docx", "A 23455-2026")</f>
        <v/>
      </c>
      <c r="X16">
        <f>HYPERLINK("https://klasma.github.io/Logging_1495/tillsyn/A 23455-2026 tillsynsbegäran.docx", "A 23455-2026")</f>
        <v/>
      </c>
      <c r="Y16">
        <f>HYPERLINK("https://klasma.github.io/Logging_1495/tillsynsmail/A 23455-2026 tillsynsbegäran mail.docx", "A 23455-2026")</f>
        <v/>
      </c>
    </row>
    <row r="17" ht="15" customHeight="1">
      <c r="A17" t="inlineStr">
        <is>
          <t>A 19729-2026</t>
        </is>
      </c>
      <c r="B17" s="1" t="n">
        <v>46135</v>
      </c>
      <c r="C17" s="1" t="n">
        <v>46200</v>
      </c>
      <c r="D17" t="inlineStr">
        <is>
          <t>VÄSTRA GÖTALANDS LÄN</t>
        </is>
      </c>
      <c r="E17" t="inlineStr">
        <is>
          <t>SKARA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HYPERLINK("https://klasma.github.io/Logging_1495/artfynd/A 19729-2026 artfynd.xlsx", "A 19729-2026")</f>
        <v/>
      </c>
      <c r="T17">
        <f>HYPERLINK("https://klasma.github.io/Logging_1495/kartor/A 19729-2026 karta.png", "A 19729-2026")</f>
        <v/>
      </c>
      <c r="V17">
        <f>HYPERLINK("https://klasma.github.io/Logging_1495/klagomål/A 19729-2026 FSC-klagomål.docx", "A 19729-2026")</f>
        <v/>
      </c>
      <c r="W17">
        <f>HYPERLINK("https://klasma.github.io/Logging_1495/klagomålsmail/A 19729-2026 FSC-klagomål mail.docx", "A 19729-2026")</f>
        <v/>
      </c>
      <c r="X17">
        <f>HYPERLINK("https://klasma.github.io/Logging_1495/tillsyn/A 19729-2026 tillsynsbegäran.docx", "A 19729-2026")</f>
        <v/>
      </c>
      <c r="Y17">
        <f>HYPERLINK("https://klasma.github.io/Logging_1495/tillsynsmail/A 19729-2026 tillsynsbegäran mail.docx", "A 19729-2026")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46200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46200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46200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46200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46200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46200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46200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46200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33940-2021</t>
        </is>
      </c>
      <c r="B26" s="1" t="n">
        <v>44378</v>
      </c>
      <c r="C26" s="1" t="n">
        <v>46200</v>
      </c>
      <c r="D26" t="inlineStr">
        <is>
          <t>VÄSTRA GÖTALANDS LÄN</t>
        </is>
      </c>
      <c r="E26" t="inlineStr">
        <is>
          <t>SKARA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52971-2021</t>
        </is>
      </c>
      <c r="B27" s="1" t="n">
        <v>44467</v>
      </c>
      <c r="C27" s="1" t="n">
        <v>46200</v>
      </c>
      <c r="D27" t="inlineStr">
        <is>
          <t>VÄSTRA GÖTALANDS LÄN</t>
        </is>
      </c>
      <c r="E27" t="inlineStr">
        <is>
          <t>SKARA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35768-2021</t>
        </is>
      </c>
      <c r="B28" s="1" t="n">
        <v>44386</v>
      </c>
      <c r="C28" s="1" t="n">
        <v>46200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33938-2021</t>
        </is>
      </c>
      <c r="B29" s="1" t="n">
        <v>44378</v>
      </c>
      <c r="C29" s="1" t="n">
        <v>46200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5594-2022</t>
        </is>
      </c>
      <c r="B30" s="1" t="n">
        <v>44595</v>
      </c>
      <c r="C30" s="1" t="n">
        <v>46200</v>
      </c>
      <c r="D30" t="inlineStr">
        <is>
          <t>VÄSTRA GÖTALANDS LÄN</t>
        </is>
      </c>
      <c r="E30" t="inlineStr">
        <is>
          <t>SKARA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46200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46200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24976-2022</t>
        </is>
      </c>
      <c r="B33" s="1" t="n">
        <v>44728</v>
      </c>
      <c r="C33" s="1" t="n">
        <v>46200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4409-2022</t>
        </is>
      </c>
      <c r="B34" s="1" t="n">
        <v>44589</v>
      </c>
      <c r="C34" s="1" t="n">
        <v>46200</v>
      </c>
      <c r="D34" t="inlineStr">
        <is>
          <t>VÄSTRA GÖTALANDS LÄN</t>
        </is>
      </c>
      <c r="E34" t="inlineStr">
        <is>
          <t>SKARA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72213-2021</t>
        </is>
      </c>
      <c r="B35" s="1" t="n">
        <v>44544</v>
      </c>
      <c r="C35" s="1" t="n">
        <v>46200</v>
      </c>
      <c r="D35" t="inlineStr">
        <is>
          <t>VÄSTRA GÖTALANDS LÄN</t>
        </is>
      </c>
      <c r="E35" t="inlineStr">
        <is>
          <t>SKARA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38210-2022</t>
        </is>
      </c>
      <c r="B36" s="1" t="n">
        <v>44812</v>
      </c>
      <c r="C36" s="1" t="n">
        <v>46200</v>
      </c>
      <c r="D36" t="inlineStr">
        <is>
          <t>VÄSTRA GÖTALANDS LÄN</t>
        </is>
      </c>
      <c r="E36" t="inlineStr">
        <is>
          <t>SKARA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50741-2021</t>
        </is>
      </c>
      <c r="B37" s="1" t="n">
        <v>44460</v>
      </c>
      <c r="C37" s="1" t="n">
        <v>46200</v>
      </c>
      <c r="D37" t="inlineStr">
        <is>
          <t>VÄSTRA GÖTALANDS LÄN</t>
        </is>
      </c>
      <c r="E37" t="inlineStr">
        <is>
          <t>SKARA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68932-2021</t>
        </is>
      </c>
      <c r="B38" s="1" t="n">
        <v>44530</v>
      </c>
      <c r="C38" s="1" t="n">
        <v>46200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40164-2022</t>
        </is>
      </c>
      <c r="B39" s="1" t="n">
        <v>44818</v>
      </c>
      <c r="C39" s="1" t="n">
        <v>46200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18017-2024</t>
        </is>
      </c>
      <c r="B40" s="1" t="n">
        <v>45420</v>
      </c>
      <c r="C40" s="1" t="n">
        <v>46200</v>
      </c>
      <c r="D40" t="inlineStr">
        <is>
          <t>VÄSTRA GÖTALANDS LÄN</t>
        </is>
      </c>
      <c r="E40" t="inlineStr">
        <is>
          <t>SKARA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18616-2025</t>
        </is>
      </c>
      <c r="B41" s="1" t="n">
        <v>45763</v>
      </c>
      <c r="C41" s="1" t="n">
        <v>46200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42301-2023</t>
        </is>
      </c>
      <c r="B42" s="1" t="n">
        <v>45180</v>
      </c>
      <c r="C42" s="1" t="n">
        <v>46200</v>
      </c>
      <c r="D42" t="inlineStr">
        <is>
          <t>VÄSTRA GÖTALANDS LÄN</t>
        </is>
      </c>
      <c r="E42" t="inlineStr">
        <is>
          <t>SKARA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26567-2024</t>
        </is>
      </c>
      <c r="B43" s="1" t="n">
        <v>45469</v>
      </c>
      <c r="C43" s="1" t="n">
        <v>46200</v>
      </c>
      <c r="D43" t="inlineStr">
        <is>
          <t>VÄSTRA GÖTALANDS LÄN</t>
        </is>
      </c>
      <c r="E43" t="inlineStr">
        <is>
          <t>SKARA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20470-2024</t>
        </is>
      </c>
      <c r="B44" s="1" t="n">
        <v>45435</v>
      </c>
      <c r="C44" s="1" t="n">
        <v>46200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60840-2021</t>
        </is>
      </c>
      <c r="B45" s="1" t="n">
        <v>44497</v>
      </c>
      <c r="C45" s="1" t="n">
        <v>46200</v>
      </c>
      <c r="D45" t="inlineStr">
        <is>
          <t>VÄSTRA GÖTALANDS LÄN</t>
        </is>
      </c>
      <c r="E45" t="inlineStr">
        <is>
          <t>SKARA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12937-2024</t>
        </is>
      </c>
      <c r="B46" s="1" t="n">
        <v>45385</v>
      </c>
      <c r="C46" s="1" t="n">
        <v>46200</v>
      </c>
      <c r="D46" t="inlineStr">
        <is>
          <t>VÄSTRA GÖTALANDS LÄN</t>
        </is>
      </c>
      <c r="E46" t="inlineStr">
        <is>
          <t>SKARA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40264-2024</t>
        </is>
      </c>
      <c r="B47" s="1" t="n">
        <v>45554</v>
      </c>
      <c r="C47" s="1" t="n">
        <v>46200</v>
      </c>
      <c r="D47" t="inlineStr">
        <is>
          <t>VÄSTRA GÖTALANDS LÄN</t>
        </is>
      </c>
      <c r="E47" t="inlineStr">
        <is>
          <t>SKARA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30083-2023</t>
        </is>
      </c>
      <c r="B48" s="1" t="n">
        <v>45110</v>
      </c>
      <c r="C48" s="1" t="n">
        <v>46200</v>
      </c>
      <c r="D48" t="inlineStr">
        <is>
          <t>VÄSTRA GÖTALANDS LÄN</t>
        </is>
      </c>
      <c r="E48" t="inlineStr">
        <is>
          <t>SKARA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52383-2023</t>
        </is>
      </c>
      <c r="B49" s="1" t="n">
        <v>45224</v>
      </c>
      <c r="C49" s="1" t="n">
        <v>46200</v>
      </c>
      <c r="D49" t="inlineStr">
        <is>
          <t>VÄSTRA GÖTALANDS LÄN</t>
        </is>
      </c>
      <c r="E49" t="inlineStr">
        <is>
          <t>SKARA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35217-2023</t>
        </is>
      </c>
      <c r="B50" s="1" t="n">
        <v>45145</v>
      </c>
      <c r="C50" s="1" t="n">
        <v>46200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30515-2024</t>
        </is>
      </c>
      <c r="B51" s="1" t="n">
        <v>45492</v>
      </c>
      <c r="C51" s="1" t="n">
        <v>46200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1198-2025</t>
        </is>
      </c>
      <c r="B52" s="1" t="n">
        <v>45667</v>
      </c>
      <c r="C52" s="1" t="n">
        <v>46200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59842-2022</t>
        </is>
      </c>
      <c r="B53" s="1" t="n">
        <v>44908</v>
      </c>
      <c r="C53" s="1" t="n">
        <v>46200</v>
      </c>
      <c r="D53" t="inlineStr">
        <is>
          <t>VÄSTRA GÖTALANDS LÄN</t>
        </is>
      </c>
      <c r="E53" t="inlineStr">
        <is>
          <t>SKARA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31128-2023</t>
        </is>
      </c>
      <c r="B54" s="1" t="n">
        <v>45113</v>
      </c>
      <c r="C54" s="1" t="n">
        <v>46200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8701-2023</t>
        </is>
      </c>
      <c r="B55" s="1" t="n">
        <v>44978</v>
      </c>
      <c r="C55" s="1" t="n">
        <v>46200</v>
      </c>
      <c r="D55" t="inlineStr">
        <is>
          <t>VÄSTRA GÖTALANDS LÄN</t>
        </is>
      </c>
      <c r="E55" t="inlineStr">
        <is>
          <t>SKARA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60086-2024</t>
        </is>
      </c>
      <c r="B56" s="1" t="n">
        <v>45642</v>
      </c>
      <c r="C56" s="1" t="n">
        <v>46200</v>
      </c>
      <c r="D56" t="inlineStr">
        <is>
          <t>VÄSTRA GÖTALANDS LÄN</t>
        </is>
      </c>
      <c r="E56" t="inlineStr">
        <is>
          <t>SKARA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515-2024</t>
        </is>
      </c>
      <c r="B57" s="1" t="n">
        <v>45299</v>
      </c>
      <c r="C57" s="1" t="n">
        <v>46200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16510-2024</t>
        </is>
      </c>
      <c r="B58" s="1" t="n">
        <v>45408</v>
      </c>
      <c r="C58" s="1" t="n">
        <v>46200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64551-2023</t>
        </is>
      </c>
      <c r="B59" s="1" t="n">
        <v>45281</v>
      </c>
      <c r="C59" s="1" t="n">
        <v>46200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</v>
      </c>
      <c r="C60" s="1" t="n">
        <v>46200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8781-2024</t>
        </is>
      </c>
      <c r="B61" s="1" t="n">
        <v>45356</v>
      </c>
      <c r="C61" s="1" t="n">
        <v>46200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9006-2022</t>
        </is>
      </c>
      <c r="B62" s="1" t="n">
        <v>44615</v>
      </c>
      <c r="C62" s="1" t="n">
        <v>46200</v>
      </c>
      <c r="D62" t="inlineStr">
        <is>
          <t>VÄSTRA GÖTALANDS LÄN</t>
        </is>
      </c>
      <c r="E62" t="inlineStr">
        <is>
          <t>SKARA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46200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36041-2023</t>
        </is>
      </c>
      <c r="B64" s="1" t="n">
        <v>45149</v>
      </c>
      <c r="C64" s="1" t="n">
        <v>46200</v>
      </c>
      <c r="D64" t="inlineStr">
        <is>
          <t>VÄSTRA GÖTALANDS LÄN</t>
        </is>
      </c>
      <c r="E64" t="inlineStr">
        <is>
          <t>SKARA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36045-2023</t>
        </is>
      </c>
      <c r="B65" s="1" t="n">
        <v>45149</v>
      </c>
      <c r="C65" s="1" t="n">
        <v>46200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7233-2023</t>
        </is>
      </c>
      <c r="B66" s="1" t="n">
        <v>44970</v>
      </c>
      <c r="C66" s="1" t="n">
        <v>46200</v>
      </c>
      <c r="D66" t="inlineStr">
        <is>
          <t>VÄSTRA GÖTALANDS LÄN</t>
        </is>
      </c>
      <c r="E66" t="inlineStr">
        <is>
          <t>SKARA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48098-2022</t>
        </is>
      </c>
      <c r="B67" s="1" t="n">
        <v>44856</v>
      </c>
      <c r="C67" s="1" t="n">
        <v>46200</v>
      </c>
      <c r="D67" t="inlineStr">
        <is>
          <t>VÄSTRA GÖTALANDS LÄN</t>
        </is>
      </c>
      <c r="E67" t="inlineStr">
        <is>
          <t>SKARA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49002-2022</t>
        </is>
      </c>
      <c r="B68" s="1" t="n">
        <v>44860</v>
      </c>
      <c r="C68" s="1" t="n">
        <v>46200</v>
      </c>
      <c r="D68" t="inlineStr">
        <is>
          <t>VÄSTRA GÖTALANDS LÄN</t>
        </is>
      </c>
      <c r="E68" t="inlineStr">
        <is>
          <t>SKARA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35765-2021</t>
        </is>
      </c>
      <c r="B69" s="1" t="n">
        <v>44386</v>
      </c>
      <c r="C69" s="1" t="n">
        <v>46200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26091-2023</t>
        </is>
      </c>
      <c r="B70" s="1" t="n">
        <v>45091</v>
      </c>
      <c r="C70" s="1" t="n">
        <v>46200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65124-2023</t>
        </is>
      </c>
      <c r="B71" s="1" t="n">
        <v>45288</v>
      </c>
      <c r="C71" s="1" t="n">
        <v>46200</v>
      </c>
      <c r="D71" t="inlineStr">
        <is>
          <t>VÄSTRA GÖTALANDS LÄN</t>
        </is>
      </c>
      <c r="E71" t="inlineStr">
        <is>
          <t>SKARA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5825-2024</t>
        </is>
      </c>
      <c r="B72" s="1" t="n">
        <v>45335</v>
      </c>
      <c r="C72" s="1" t="n">
        <v>46200</v>
      </c>
      <c r="D72" t="inlineStr">
        <is>
          <t>VÄSTRA GÖTALANDS LÄN</t>
        </is>
      </c>
      <c r="E72" t="inlineStr">
        <is>
          <t>SKARA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2110-2024</t>
        </is>
      </c>
      <c r="B73" s="1" t="n">
        <v>45309</v>
      </c>
      <c r="C73" s="1" t="n">
        <v>46200</v>
      </c>
      <c r="D73" t="inlineStr">
        <is>
          <t>VÄSTRA GÖTALANDS LÄN</t>
        </is>
      </c>
      <c r="E73" t="inlineStr">
        <is>
          <t>SKARA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52381-2023</t>
        </is>
      </c>
      <c r="B74" s="1" t="n">
        <v>45224</v>
      </c>
      <c r="C74" s="1" t="n">
        <v>46200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46185-2023</t>
        </is>
      </c>
      <c r="B75" s="1" t="n">
        <v>45196</v>
      </c>
      <c r="C75" s="1" t="n">
        <v>46200</v>
      </c>
      <c r="D75" t="inlineStr">
        <is>
          <t>VÄSTRA GÖTALANDS LÄN</t>
        </is>
      </c>
      <c r="E75" t="inlineStr">
        <is>
          <t>SKARA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64553-2023</t>
        </is>
      </c>
      <c r="B76" s="1" t="n">
        <v>45281</v>
      </c>
      <c r="C76" s="1" t="n">
        <v>46200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6366-2025</t>
        </is>
      </c>
      <c r="B77" s="1" t="n">
        <v>45699</v>
      </c>
      <c r="C77" s="1" t="n">
        <v>46200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57238-2022</t>
        </is>
      </c>
      <c r="B78" s="1" t="n">
        <v>44895</v>
      </c>
      <c r="C78" s="1" t="n">
        <v>46200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25153-2024</t>
        </is>
      </c>
      <c r="B79" s="1" t="n">
        <v>45462</v>
      </c>
      <c r="C79" s="1" t="n">
        <v>46200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14844-2024</t>
        </is>
      </c>
      <c r="B80" s="1" t="n">
        <v>45398</v>
      </c>
      <c r="C80" s="1" t="n">
        <v>46200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45159-2022</t>
        </is>
      </c>
      <c r="B81" s="1" t="n">
        <v>44844</v>
      </c>
      <c r="C81" s="1" t="n">
        <v>46200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42874-2022</t>
        </is>
      </c>
      <c r="B82" s="1" t="n">
        <v>44832</v>
      </c>
      <c r="C82" s="1" t="n">
        <v>46200</v>
      </c>
      <c r="D82" t="inlineStr">
        <is>
          <t>VÄSTRA GÖTALANDS LÄN</t>
        </is>
      </c>
      <c r="E82" t="inlineStr">
        <is>
          <t>SKARA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9117-2025</t>
        </is>
      </c>
      <c r="B83" s="1" t="n">
        <v>45713</v>
      </c>
      <c r="C83" s="1" t="n">
        <v>46200</v>
      </c>
      <c r="D83" t="inlineStr">
        <is>
          <t>VÄSTRA GÖTALANDS LÄN</t>
        </is>
      </c>
      <c r="E83" t="inlineStr">
        <is>
          <t>SKARA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26480-2024</t>
        </is>
      </c>
      <c r="B84" s="1" t="n">
        <v>45469</v>
      </c>
      <c r="C84" s="1" t="n">
        <v>46200</v>
      </c>
      <c r="D84" t="inlineStr">
        <is>
          <t>VÄSTRA GÖTALANDS LÄN</t>
        </is>
      </c>
      <c r="E84" t="inlineStr">
        <is>
          <t>SKARA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26482-2024</t>
        </is>
      </c>
      <c r="B85" s="1" t="n">
        <v>45469</v>
      </c>
      <c r="C85" s="1" t="n">
        <v>46200</v>
      </c>
      <c r="D85" t="inlineStr">
        <is>
          <t>VÄSTRA GÖTALANDS LÄN</t>
        </is>
      </c>
      <c r="E85" t="inlineStr">
        <is>
          <t>SKARA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2472-2024</t>
        </is>
      </c>
      <c r="B86" s="1" t="n">
        <v>45313</v>
      </c>
      <c r="C86" s="1" t="n">
        <v>46200</v>
      </c>
      <c r="D86" t="inlineStr">
        <is>
          <t>VÄSTRA GÖTALANDS LÄN</t>
        </is>
      </c>
      <c r="E86" t="inlineStr">
        <is>
          <t>SKARA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41562-2022</t>
        </is>
      </c>
      <c r="B87" s="1" t="n">
        <v>44827</v>
      </c>
      <c r="C87" s="1" t="n">
        <v>46200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57258-2022</t>
        </is>
      </c>
      <c r="B88" s="1" t="n">
        <v>44895</v>
      </c>
      <c r="C88" s="1" t="n">
        <v>46200</v>
      </c>
      <c r="D88" t="inlineStr">
        <is>
          <t>VÄSTRA GÖTALANDS LÄN</t>
        </is>
      </c>
      <c r="E88" t="inlineStr">
        <is>
          <t>SKARA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30513-2024</t>
        </is>
      </c>
      <c r="B89" s="1" t="n">
        <v>45492</v>
      </c>
      <c r="C89" s="1" t="n">
        <v>46200</v>
      </c>
      <c r="D89" t="inlineStr">
        <is>
          <t>VÄSTRA GÖTALANDS LÄN</t>
        </is>
      </c>
      <c r="E89" t="inlineStr">
        <is>
          <t>SKARA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55246-2022</t>
        </is>
      </c>
      <c r="B90" s="1" t="n">
        <v>44887</v>
      </c>
      <c r="C90" s="1" t="n">
        <v>46200</v>
      </c>
      <c r="D90" t="inlineStr">
        <is>
          <t>VÄSTRA GÖTALANDS LÄN</t>
        </is>
      </c>
      <c r="E90" t="inlineStr">
        <is>
          <t>SKARA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55247-2022</t>
        </is>
      </c>
      <c r="B91" s="1" t="n">
        <v>44887</v>
      </c>
      <c r="C91" s="1" t="n">
        <v>46200</v>
      </c>
      <c r="D91" t="inlineStr">
        <is>
          <t>VÄSTRA GÖTALANDS LÄN</t>
        </is>
      </c>
      <c r="E91" t="inlineStr">
        <is>
          <t>SKARA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62890-2023</t>
        </is>
      </c>
      <c r="B92" s="1" t="n">
        <v>45272</v>
      </c>
      <c r="C92" s="1" t="n">
        <v>46200</v>
      </c>
      <c r="D92" t="inlineStr">
        <is>
          <t>VÄSTRA GÖTALANDS LÄN</t>
        </is>
      </c>
      <c r="E92" t="inlineStr">
        <is>
          <t>SKARA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4542-2025</t>
        </is>
      </c>
      <c r="B93" s="1" t="n">
        <v>45687</v>
      </c>
      <c r="C93" s="1" t="n">
        <v>46200</v>
      </c>
      <c r="D93" t="inlineStr">
        <is>
          <t>VÄSTRA GÖTALANDS LÄN</t>
        </is>
      </c>
      <c r="E93" t="inlineStr">
        <is>
          <t>SKARA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27980-2023</t>
        </is>
      </c>
      <c r="B94" s="1" t="n">
        <v>45098</v>
      </c>
      <c r="C94" s="1" t="n">
        <v>46200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10827-2023</t>
        </is>
      </c>
      <c r="B95" s="1" t="n">
        <v>44990</v>
      </c>
      <c r="C95" s="1" t="n">
        <v>46200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30479-2023</t>
        </is>
      </c>
      <c r="B96" s="1" t="n">
        <v>45111</v>
      </c>
      <c r="C96" s="1" t="n">
        <v>46200</v>
      </c>
      <c r="D96" t="inlineStr">
        <is>
          <t>VÄSTRA GÖTALANDS LÄN</t>
        </is>
      </c>
      <c r="E96" t="inlineStr">
        <is>
          <t>SKARA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55211-2024</t>
        </is>
      </c>
      <c r="B97" s="1" t="n">
        <v>45621</v>
      </c>
      <c r="C97" s="1" t="n">
        <v>46200</v>
      </c>
      <c r="D97" t="inlineStr">
        <is>
          <t>VÄSTRA GÖTALANDS LÄN</t>
        </is>
      </c>
      <c r="E97" t="inlineStr">
        <is>
          <t>SKARA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7946-2023</t>
        </is>
      </c>
      <c r="B98" s="1" t="n">
        <v>44973</v>
      </c>
      <c r="C98" s="1" t="n">
        <v>46200</v>
      </c>
      <c r="D98" t="inlineStr">
        <is>
          <t>VÄSTRA GÖTALANDS LÄN</t>
        </is>
      </c>
      <c r="E98" t="inlineStr">
        <is>
          <t>SKARA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18701-2022</t>
        </is>
      </c>
      <c r="B99" s="1" t="n">
        <v>44687</v>
      </c>
      <c r="C99" s="1" t="n">
        <v>46200</v>
      </c>
      <c r="D99" t="inlineStr">
        <is>
          <t>VÄSTRA GÖTALANDS LÄN</t>
        </is>
      </c>
      <c r="E99" t="inlineStr">
        <is>
          <t>SKARA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18739-2023</t>
        </is>
      </c>
      <c r="B100" s="1" t="n">
        <v>45043</v>
      </c>
      <c r="C100" s="1" t="n">
        <v>46200</v>
      </c>
      <c r="D100" t="inlineStr">
        <is>
          <t>VÄSTRA GÖTALANDS LÄN</t>
        </is>
      </c>
      <c r="E100" t="inlineStr">
        <is>
          <t>SKARA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56922-2024</t>
        </is>
      </c>
      <c r="B101" s="1" t="n">
        <v>45628</v>
      </c>
      <c r="C101" s="1" t="n">
        <v>46200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26575-2024</t>
        </is>
      </c>
      <c r="B102" s="1" t="n">
        <v>45469</v>
      </c>
      <c r="C102" s="1" t="n">
        <v>46200</v>
      </c>
      <c r="D102" t="inlineStr">
        <is>
          <t>VÄSTRA GÖTALANDS LÄN</t>
        </is>
      </c>
      <c r="E102" t="inlineStr">
        <is>
          <t>SKARA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25176-2023</t>
        </is>
      </c>
      <c r="B103" s="1" t="n">
        <v>45086</v>
      </c>
      <c r="C103" s="1" t="n">
        <v>46200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17705-2025</t>
        </is>
      </c>
      <c r="B104" s="1" t="n">
        <v>45758</v>
      </c>
      <c r="C104" s="1" t="n">
        <v>46200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17709-2025</t>
        </is>
      </c>
      <c r="B105" s="1" t="n">
        <v>45758</v>
      </c>
      <c r="C105" s="1" t="n">
        <v>46200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1566-2023</t>
        </is>
      </c>
      <c r="B106" s="1" t="n">
        <v>44937</v>
      </c>
      <c r="C106" s="1" t="n">
        <v>46200</v>
      </c>
      <c r="D106" t="inlineStr">
        <is>
          <t>VÄSTRA GÖTALANDS LÄN</t>
        </is>
      </c>
      <c r="E106" t="inlineStr">
        <is>
          <t>SKARA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9118-2025</t>
        </is>
      </c>
      <c r="B107" s="1" t="n">
        <v>45713</v>
      </c>
      <c r="C107" s="1" t="n">
        <v>46200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50043-2023</t>
        </is>
      </c>
      <c r="B108" s="1" t="n">
        <v>45215</v>
      </c>
      <c r="C108" s="1" t="n">
        <v>46200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5559-2023</t>
        </is>
      </c>
      <c r="B109" s="1" t="n">
        <v>44957</v>
      </c>
      <c r="C109" s="1" t="n">
        <v>46200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15927-2023</t>
        </is>
      </c>
      <c r="B110" s="1" t="n">
        <v>45022</v>
      </c>
      <c r="C110" s="1" t="n">
        <v>46200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22870-2024</t>
        </is>
      </c>
      <c r="B111" s="1" t="n">
        <v>45448</v>
      </c>
      <c r="C111" s="1" t="n">
        <v>46200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41602-2023</t>
        </is>
      </c>
      <c r="B112" s="1" t="n">
        <v>45175</v>
      </c>
      <c r="C112" s="1" t="n">
        <v>46200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Kommuner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30085-2023</t>
        </is>
      </c>
      <c r="B113" s="1" t="n">
        <v>45110</v>
      </c>
      <c r="C113" s="1" t="n">
        <v>46200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3822-2022</t>
        </is>
      </c>
      <c r="B114" s="1" t="n">
        <v>44587</v>
      </c>
      <c r="C114" s="1" t="n">
        <v>46200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3144-2023</t>
        </is>
      </c>
      <c r="B115" s="1" t="n">
        <v>44946</v>
      </c>
      <c r="C115" s="1" t="n">
        <v>46200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60654-2021</t>
        </is>
      </c>
      <c r="B116" s="1" t="n">
        <v>44496</v>
      </c>
      <c r="C116" s="1" t="n">
        <v>46200</v>
      </c>
      <c r="D116" t="inlineStr">
        <is>
          <t>VÄSTRA GÖTALANDS LÄN</t>
        </is>
      </c>
      <c r="E116" t="inlineStr">
        <is>
          <t>SKARA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27265-2023</t>
        </is>
      </c>
      <c r="B117" s="1" t="n">
        <v>45096</v>
      </c>
      <c r="C117" s="1" t="n">
        <v>46200</v>
      </c>
      <c r="D117" t="inlineStr">
        <is>
          <t>VÄSTRA GÖTALANDS LÄN</t>
        </is>
      </c>
      <c r="E117" t="inlineStr">
        <is>
          <t>SKARA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28041-2025</t>
        </is>
      </c>
      <c r="B118" s="1" t="n">
        <v>45817</v>
      </c>
      <c r="C118" s="1" t="n">
        <v>46200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43564-2021</t>
        </is>
      </c>
      <c r="B119" s="1" t="n">
        <v>44433</v>
      </c>
      <c r="C119" s="1" t="n">
        <v>46200</v>
      </c>
      <c r="D119" t="inlineStr">
        <is>
          <t>VÄSTRA GÖTALANDS LÄN</t>
        </is>
      </c>
      <c r="E119" t="inlineStr">
        <is>
          <t>SKARA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30069-2023</t>
        </is>
      </c>
      <c r="B120" s="1" t="n">
        <v>45110</v>
      </c>
      <c r="C120" s="1" t="n">
        <v>46200</v>
      </c>
      <c r="D120" t="inlineStr">
        <is>
          <t>VÄSTRA GÖTALANDS LÄN</t>
        </is>
      </c>
      <c r="E120" t="inlineStr">
        <is>
          <t>SKARA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30079-2023</t>
        </is>
      </c>
      <c r="B121" s="1" t="n">
        <v>45110</v>
      </c>
      <c r="C121" s="1" t="n">
        <v>46200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28738-2025</t>
        </is>
      </c>
      <c r="B122" s="1" t="n">
        <v>45820</v>
      </c>
      <c r="C122" s="1" t="n">
        <v>46200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32668-2024</t>
        </is>
      </c>
      <c r="B123" s="1" t="n">
        <v>45514</v>
      </c>
      <c r="C123" s="1" t="n">
        <v>46200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37460-2023</t>
        </is>
      </c>
      <c r="B124" s="1" t="n">
        <v>45156</v>
      </c>
      <c r="C124" s="1" t="n">
        <v>46200</v>
      </c>
      <c r="D124" t="inlineStr">
        <is>
          <t>VÄSTRA GÖTALANDS LÄN</t>
        </is>
      </c>
      <c r="E124" t="inlineStr">
        <is>
          <t>SKARA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11900-2023</t>
        </is>
      </c>
      <c r="B125" s="1" t="n">
        <v>44995</v>
      </c>
      <c r="C125" s="1" t="n">
        <v>46200</v>
      </c>
      <c r="D125" t="inlineStr">
        <is>
          <t>VÄSTRA GÖTALANDS LÄN</t>
        </is>
      </c>
      <c r="E125" t="inlineStr">
        <is>
          <t>SKARA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516-2024</t>
        </is>
      </c>
      <c r="B126" s="1" t="n">
        <v>45299</v>
      </c>
      <c r="C126" s="1" t="n">
        <v>46200</v>
      </c>
      <c r="D126" t="inlineStr">
        <is>
          <t>VÄSTRA GÖTALANDS LÄN</t>
        </is>
      </c>
      <c r="E126" t="inlineStr">
        <is>
          <t>SKARA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12889-2022</t>
        </is>
      </c>
      <c r="B127" s="1" t="n">
        <v>44642</v>
      </c>
      <c r="C127" s="1" t="n">
        <v>46200</v>
      </c>
      <c r="D127" t="inlineStr">
        <is>
          <t>VÄSTRA GÖTALANDS LÄN</t>
        </is>
      </c>
      <c r="E127" t="inlineStr">
        <is>
          <t>SKARA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46190-2023</t>
        </is>
      </c>
      <c r="B128" s="1" t="n">
        <v>45196</v>
      </c>
      <c r="C128" s="1" t="n">
        <v>46200</v>
      </c>
      <c r="D128" t="inlineStr">
        <is>
          <t>VÄSTRA GÖTALANDS LÄN</t>
        </is>
      </c>
      <c r="E128" t="inlineStr">
        <is>
          <t>SKARA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18734-2023</t>
        </is>
      </c>
      <c r="B129" s="1" t="n">
        <v>45043</v>
      </c>
      <c r="C129" s="1" t="n">
        <v>46200</v>
      </c>
      <c r="D129" t="inlineStr">
        <is>
          <t>VÄSTRA GÖTALANDS LÄN</t>
        </is>
      </c>
      <c r="E129" t="inlineStr">
        <is>
          <t>SKARA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32844-2025</t>
        </is>
      </c>
      <c r="B130" s="1" t="n">
        <v>45839</v>
      </c>
      <c r="C130" s="1" t="n">
        <v>46200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32850-2025</t>
        </is>
      </c>
      <c r="B131" s="1" t="n">
        <v>45839</v>
      </c>
      <c r="C131" s="1" t="n">
        <v>46200</v>
      </c>
      <c r="D131" t="inlineStr">
        <is>
          <t>VÄSTRA GÖTALANDS LÄN</t>
        </is>
      </c>
      <c r="E131" t="inlineStr">
        <is>
          <t>SKARA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30019-2023</t>
        </is>
      </c>
      <c r="B132" s="1" t="n">
        <v>45109</v>
      </c>
      <c r="C132" s="1" t="n">
        <v>46200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4306-2023</t>
        </is>
      </c>
      <c r="B133" s="1" t="n">
        <v>44953</v>
      </c>
      <c r="C133" s="1" t="n">
        <v>46200</v>
      </c>
      <c r="D133" t="inlineStr">
        <is>
          <t>VÄSTRA GÖTALANDS LÄN</t>
        </is>
      </c>
      <c r="E133" t="inlineStr">
        <is>
          <t>SKARA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33095-2025</t>
        </is>
      </c>
      <c r="B134" s="1" t="n">
        <v>45840</v>
      </c>
      <c r="C134" s="1" t="n">
        <v>46200</v>
      </c>
      <c r="D134" t="inlineStr">
        <is>
          <t>VÄSTRA GÖTALANDS LÄN</t>
        </is>
      </c>
      <c r="E134" t="inlineStr">
        <is>
          <t>SKARA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20870-2022</t>
        </is>
      </c>
      <c r="B135" s="1" t="n">
        <v>44701</v>
      </c>
      <c r="C135" s="1" t="n">
        <v>46200</v>
      </c>
      <c r="D135" t="inlineStr">
        <is>
          <t>VÄSTRA GÖTALANDS LÄN</t>
        </is>
      </c>
      <c r="E135" t="inlineStr">
        <is>
          <t>SKARA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20098-2022</t>
        </is>
      </c>
      <c r="B136" s="1" t="n">
        <v>44698</v>
      </c>
      <c r="C136" s="1" t="n">
        <v>46200</v>
      </c>
      <c r="D136" t="inlineStr">
        <is>
          <t>VÄSTRA GÖTALANDS LÄN</t>
        </is>
      </c>
      <c r="E136" t="inlineStr">
        <is>
          <t>SKARA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2590-2024</t>
        </is>
      </c>
      <c r="B137" s="1" t="n">
        <v>45313</v>
      </c>
      <c r="C137" s="1" t="n">
        <v>46200</v>
      </c>
      <c r="D137" t="inlineStr">
        <is>
          <t>VÄSTRA GÖTALANDS LÄN</t>
        </is>
      </c>
      <c r="E137" t="inlineStr">
        <is>
          <t>SKARA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65095-2023</t>
        </is>
      </c>
      <c r="B138" s="1" t="n">
        <v>45288</v>
      </c>
      <c r="C138" s="1" t="n">
        <v>46200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60233-2023</t>
        </is>
      </c>
      <c r="B139" s="1" t="n">
        <v>45258</v>
      </c>
      <c r="C139" s="1" t="n">
        <v>46200</v>
      </c>
      <c r="D139" t="inlineStr">
        <is>
          <t>VÄSTRA GÖTALANDS LÄN</t>
        </is>
      </c>
      <c r="E139" t="inlineStr">
        <is>
          <t>SKARA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20721-2025</t>
        </is>
      </c>
      <c r="B140" s="1" t="n">
        <v>45776</v>
      </c>
      <c r="C140" s="1" t="n">
        <v>46200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18704-2022</t>
        </is>
      </c>
      <c r="B141" s="1" t="n">
        <v>44687</v>
      </c>
      <c r="C141" s="1" t="n">
        <v>46200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Kommuner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34569-2023</t>
        </is>
      </c>
      <c r="B142" s="1" t="n">
        <v>45140</v>
      </c>
      <c r="C142" s="1" t="n">
        <v>46200</v>
      </c>
      <c r="D142" t="inlineStr">
        <is>
          <t>VÄSTRA GÖTALANDS LÄN</t>
        </is>
      </c>
      <c r="E142" t="inlineStr">
        <is>
          <t>SKARA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2701-2024</t>
        </is>
      </c>
      <c r="B143" s="1" t="n">
        <v>45314</v>
      </c>
      <c r="C143" s="1" t="n">
        <v>46200</v>
      </c>
      <c r="D143" t="inlineStr">
        <is>
          <t>VÄSTRA GÖTALANDS LÄN</t>
        </is>
      </c>
      <c r="E143" t="inlineStr">
        <is>
          <t>SKARA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59841-2024</t>
        </is>
      </c>
      <c r="B144" s="1" t="n">
        <v>45639</v>
      </c>
      <c r="C144" s="1" t="n">
        <v>46200</v>
      </c>
      <c r="D144" t="inlineStr">
        <is>
          <t>VÄSTRA GÖTALANDS LÄN</t>
        </is>
      </c>
      <c r="E144" t="inlineStr">
        <is>
          <t>SKARA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11902-2023</t>
        </is>
      </c>
      <c r="B145" s="1" t="n">
        <v>44995</v>
      </c>
      <c r="C145" s="1" t="n">
        <v>46200</v>
      </c>
      <c r="D145" t="inlineStr">
        <is>
          <t>VÄSTRA GÖTALANDS LÄN</t>
        </is>
      </c>
      <c r="E145" t="inlineStr">
        <is>
          <t>SKARA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37032-2025</t>
        </is>
      </c>
      <c r="B146" s="1" t="n">
        <v>45874</v>
      </c>
      <c r="C146" s="1" t="n">
        <v>46200</v>
      </c>
      <c r="D146" t="inlineStr">
        <is>
          <t>VÄSTRA GÖTALANDS LÄN</t>
        </is>
      </c>
      <c r="E146" t="inlineStr">
        <is>
          <t>SKARA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29255-2025</t>
        </is>
      </c>
      <c r="B147" s="1" t="n">
        <v>45824</v>
      </c>
      <c r="C147" s="1" t="n">
        <v>46200</v>
      </c>
      <c r="D147" t="inlineStr">
        <is>
          <t>VÄSTRA GÖTALANDS LÄN</t>
        </is>
      </c>
      <c r="E147" t="inlineStr">
        <is>
          <t>SKARA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58683-2024</t>
        </is>
      </c>
      <c r="B148" s="1" t="n">
        <v>45635</v>
      </c>
      <c r="C148" s="1" t="n">
        <v>46200</v>
      </c>
      <c r="D148" t="inlineStr">
        <is>
          <t>VÄSTRA GÖTALANDS LÄN</t>
        </is>
      </c>
      <c r="E148" t="inlineStr">
        <is>
          <t>SKARA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48088-2025</t>
        </is>
      </c>
      <c r="B149" s="1" t="n">
        <v>45932</v>
      </c>
      <c r="C149" s="1" t="n">
        <v>46200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10913-2024</t>
        </is>
      </c>
      <c r="B150" s="1" t="n">
        <v>45370</v>
      </c>
      <c r="C150" s="1" t="n">
        <v>46200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49435-2024</t>
        </is>
      </c>
      <c r="B151" s="1" t="n">
        <v>45595</v>
      </c>
      <c r="C151" s="1" t="n">
        <v>46200</v>
      </c>
      <c r="D151" t="inlineStr">
        <is>
          <t>VÄSTRA GÖTALANDS LÄN</t>
        </is>
      </c>
      <c r="E151" t="inlineStr">
        <is>
          <t>SKARA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39365-2025</t>
        </is>
      </c>
      <c r="B152" s="1" t="n">
        <v>45889</v>
      </c>
      <c r="C152" s="1" t="n">
        <v>46200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39367-2025</t>
        </is>
      </c>
      <c r="B153" s="1" t="n">
        <v>45889</v>
      </c>
      <c r="C153" s="1" t="n">
        <v>46200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39492-2025</t>
        </is>
      </c>
      <c r="B154" s="1" t="n">
        <v>45890</v>
      </c>
      <c r="C154" s="1" t="n">
        <v>46200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39494-2025</t>
        </is>
      </c>
      <c r="B155" s="1" t="n">
        <v>45890</v>
      </c>
      <c r="C155" s="1" t="n">
        <v>46200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50590-2025</t>
        </is>
      </c>
      <c r="B156" s="1" t="n">
        <v>45945</v>
      </c>
      <c r="C156" s="1" t="n">
        <v>46200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27668-2022</t>
        </is>
      </c>
      <c r="B157" s="1" t="n">
        <v>44743</v>
      </c>
      <c r="C157" s="1" t="n">
        <v>46200</v>
      </c>
      <c r="D157" t="inlineStr">
        <is>
          <t>VÄSTRA GÖTALANDS LÄN</t>
        </is>
      </c>
      <c r="E157" t="inlineStr">
        <is>
          <t>SKARA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28073-2023</t>
        </is>
      </c>
      <c r="B158" s="1" t="n">
        <v>45099</v>
      </c>
      <c r="C158" s="1" t="n">
        <v>46200</v>
      </c>
      <c r="D158" t="inlineStr">
        <is>
          <t>VÄSTRA GÖTALANDS LÄN</t>
        </is>
      </c>
      <c r="E158" t="inlineStr">
        <is>
          <t>SKARA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38205-2022</t>
        </is>
      </c>
      <c r="B159" s="1" t="n">
        <v>44812</v>
      </c>
      <c r="C159" s="1" t="n">
        <v>46200</v>
      </c>
      <c r="D159" t="inlineStr">
        <is>
          <t>VÄSTRA GÖTALANDS LÄN</t>
        </is>
      </c>
      <c r="E159" t="inlineStr">
        <is>
          <t>SKARA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53170-2025</t>
        </is>
      </c>
      <c r="B160" s="1" t="n">
        <v>45958</v>
      </c>
      <c r="C160" s="1" t="n">
        <v>46200</v>
      </c>
      <c r="D160" t="inlineStr">
        <is>
          <t>VÄSTRA GÖTALANDS LÄN</t>
        </is>
      </c>
      <c r="E160" t="inlineStr">
        <is>
          <t>SKARA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55202-2024</t>
        </is>
      </c>
      <c r="B161" s="1" t="n">
        <v>45621</v>
      </c>
      <c r="C161" s="1" t="n">
        <v>46200</v>
      </c>
      <c r="D161" t="inlineStr">
        <is>
          <t>VÄSTRA GÖTALANDS LÄN</t>
        </is>
      </c>
      <c r="E161" t="inlineStr">
        <is>
          <t>SKARA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53527-2025</t>
        </is>
      </c>
      <c r="B162" s="1" t="n">
        <v>45960</v>
      </c>
      <c r="C162" s="1" t="n">
        <v>46200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26268-2023</t>
        </is>
      </c>
      <c r="B163" s="1" t="n">
        <v>45091</v>
      </c>
      <c r="C163" s="1" t="n">
        <v>46200</v>
      </c>
      <c r="D163" t="inlineStr">
        <is>
          <t>VÄSTRA GÖTALANDS LÄN</t>
        </is>
      </c>
      <c r="E163" t="inlineStr">
        <is>
          <t>SKARA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56849-2022</t>
        </is>
      </c>
      <c r="B164" s="1" t="n">
        <v>44894</v>
      </c>
      <c r="C164" s="1" t="n">
        <v>46200</v>
      </c>
      <c r="D164" t="inlineStr">
        <is>
          <t>VÄSTRA GÖTALANDS LÄN</t>
        </is>
      </c>
      <c r="E164" t="inlineStr">
        <is>
          <t>SKARA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44819-2025</t>
        </is>
      </c>
      <c r="B165" s="1" t="n">
        <v>45918</v>
      </c>
      <c r="C165" s="1" t="n">
        <v>46200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59996-2022</t>
        </is>
      </c>
      <c r="B166" s="1" t="n">
        <v>44909</v>
      </c>
      <c r="C166" s="1" t="n">
        <v>46200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46155-2025</t>
        </is>
      </c>
      <c r="B167" s="1" t="n">
        <v>45924</v>
      </c>
      <c r="C167" s="1" t="n">
        <v>46200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46211-2025</t>
        </is>
      </c>
      <c r="B168" s="1" t="n">
        <v>45924</v>
      </c>
      <c r="C168" s="1" t="n">
        <v>46200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46183-2025</t>
        </is>
      </c>
      <c r="B169" s="1" t="n">
        <v>45924</v>
      </c>
      <c r="C169" s="1" t="n">
        <v>46200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46203-2025</t>
        </is>
      </c>
      <c r="B170" s="1" t="n">
        <v>45924</v>
      </c>
      <c r="C170" s="1" t="n">
        <v>46200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47010-2025</t>
        </is>
      </c>
      <c r="B171" s="1" t="n">
        <v>45929</v>
      </c>
      <c r="C171" s="1" t="n">
        <v>46200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56274-2025</t>
        </is>
      </c>
      <c r="B172" s="1" t="n">
        <v>45974</v>
      </c>
      <c r="C172" s="1" t="n">
        <v>46200</v>
      </c>
      <c r="D172" t="inlineStr">
        <is>
          <t>VÄSTRA GÖTALANDS LÄN</t>
        </is>
      </c>
      <c r="E172" t="inlineStr">
        <is>
          <t>SKARA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25219-2025</t>
        </is>
      </c>
      <c r="B173" s="1" t="n">
        <v>45800</v>
      </c>
      <c r="C173" s="1" t="n">
        <v>46200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61324-2025</t>
        </is>
      </c>
      <c r="B174" s="1" t="n">
        <v>46001</v>
      </c>
      <c r="C174" s="1" t="n">
        <v>46200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62779-2025</t>
        </is>
      </c>
      <c r="B175" s="1" t="n">
        <v>46008</v>
      </c>
      <c r="C175" s="1" t="n">
        <v>46200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5897-2026</t>
        </is>
      </c>
      <c r="B176" s="1" t="n">
        <v>46052</v>
      </c>
      <c r="C176" s="1" t="n">
        <v>46200</v>
      </c>
      <c r="D176" t="inlineStr">
        <is>
          <t>VÄSTRA GÖTALANDS LÄN</t>
        </is>
      </c>
      <c r="E176" t="inlineStr">
        <is>
          <t>SKARA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5900-2026</t>
        </is>
      </c>
      <c r="B177" s="1" t="n">
        <v>46052</v>
      </c>
      <c r="C177" s="1" t="n">
        <v>46200</v>
      </c>
      <c r="D177" t="inlineStr">
        <is>
          <t>VÄSTRA GÖTALANDS LÄN</t>
        </is>
      </c>
      <c r="E177" t="inlineStr">
        <is>
          <t>SKARA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7522-2026</t>
        </is>
      </c>
      <c r="B178" s="1" t="n">
        <v>46059</v>
      </c>
      <c r="C178" s="1" t="n">
        <v>46200</v>
      </c>
      <c r="D178" t="inlineStr">
        <is>
          <t>VÄSTRA GÖTALANDS LÄN</t>
        </is>
      </c>
      <c r="E178" t="inlineStr">
        <is>
          <t>SKARA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7530-2026</t>
        </is>
      </c>
      <c r="B179" s="1" t="n">
        <v>46059</v>
      </c>
      <c r="C179" s="1" t="n">
        <v>46200</v>
      </c>
      <c r="D179" t="inlineStr">
        <is>
          <t>VÄSTRA GÖTALANDS LÄN</t>
        </is>
      </c>
      <c r="E179" t="inlineStr">
        <is>
          <t>SKARA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7531-2026</t>
        </is>
      </c>
      <c r="B180" s="1" t="n">
        <v>46059</v>
      </c>
      <c r="C180" s="1" t="n">
        <v>46200</v>
      </c>
      <c r="D180" t="inlineStr">
        <is>
          <t>VÄSTRA GÖTALANDS LÄN</t>
        </is>
      </c>
      <c r="E180" t="inlineStr">
        <is>
          <t>SKARA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10176-2025</t>
        </is>
      </c>
      <c r="B181" s="1" t="n">
        <v>45719</v>
      </c>
      <c r="C181" s="1" t="n">
        <v>46200</v>
      </c>
      <c r="D181" t="inlineStr">
        <is>
          <t>VÄSTRA GÖTALANDS LÄN</t>
        </is>
      </c>
      <c r="E181" t="inlineStr">
        <is>
          <t>SKARA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9691-2026</t>
        </is>
      </c>
      <c r="B182" s="1" t="n">
        <v>46072</v>
      </c>
      <c r="C182" s="1" t="n">
        <v>46200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12332-2026</t>
        </is>
      </c>
      <c r="B183" s="1" t="n">
        <v>46087</v>
      </c>
      <c r="C183" s="1" t="n">
        <v>46200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13276-2026</t>
        </is>
      </c>
      <c r="B184" s="1" t="n">
        <v>46093</v>
      </c>
      <c r="C184" s="1" t="n">
        <v>46200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13063-2026</t>
        </is>
      </c>
      <c r="B185" s="1" t="n">
        <v>46093</v>
      </c>
      <c r="C185" s="1" t="n">
        <v>46200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14422-2026</t>
        </is>
      </c>
      <c r="B186" s="1" t="n">
        <v>46100</v>
      </c>
      <c r="C186" s="1" t="n">
        <v>46200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14597-2026</t>
        </is>
      </c>
      <c r="B187" s="1" t="n">
        <v>46101</v>
      </c>
      <c r="C187" s="1" t="n">
        <v>46200</v>
      </c>
      <c r="D187" t="inlineStr">
        <is>
          <t>VÄSTRA GÖTALANDS LÄN</t>
        </is>
      </c>
      <c r="E187" t="inlineStr">
        <is>
          <t>SKARA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14577-2026</t>
        </is>
      </c>
      <c r="B188" s="1" t="n">
        <v>46101</v>
      </c>
      <c r="C188" s="1" t="n">
        <v>46200</v>
      </c>
      <c r="D188" t="inlineStr">
        <is>
          <t>VÄSTRA GÖTALANDS LÄN</t>
        </is>
      </c>
      <c r="E188" t="inlineStr">
        <is>
          <t>SKARA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15425-2026</t>
        </is>
      </c>
      <c r="B189" s="1" t="n">
        <v>46106</v>
      </c>
      <c r="C189" s="1" t="n">
        <v>46200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15438-2026</t>
        </is>
      </c>
      <c r="B190" s="1" t="n">
        <v>46106</v>
      </c>
      <c r="C190" s="1" t="n">
        <v>46200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15429-2026</t>
        </is>
      </c>
      <c r="B191" s="1" t="n">
        <v>46106</v>
      </c>
      <c r="C191" s="1" t="n">
        <v>46200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16085-2026</t>
        </is>
      </c>
      <c r="B192" s="1" t="n">
        <v>46108</v>
      </c>
      <c r="C192" s="1" t="n">
        <v>46200</v>
      </c>
      <c r="D192" t="inlineStr">
        <is>
          <t>VÄSTRA GÖTALANDS LÄN</t>
        </is>
      </c>
      <c r="E192" t="inlineStr">
        <is>
          <t>SKARA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16199-2026</t>
        </is>
      </c>
      <c r="B193" s="1" t="n">
        <v>46111</v>
      </c>
      <c r="C193" s="1" t="n">
        <v>46200</v>
      </c>
      <c r="D193" t="inlineStr">
        <is>
          <t>VÄSTRA GÖTALANDS LÄN</t>
        </is>
      </c>
      <c r="E193" t="inlineStr">
        <is>
          <t>SKARA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16201-2026</t>
        </is>
      </c>
      <c r="B194" s="1" t="n">
        <v>46111</v>
      </c>
      <c r="C194" s="1" t="n">
        <v>46200</v>
      </c>
      <c r="D194" t="inlineStr">
        <is>
          <t>VÄSTRA GÖTALANDS LÄN</t>
        </is>
      </c>
      <c r="E194" t="inlineStr">
        <is>
          <t>SKARA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16198-2026</t>
        </is>
      </c>
      <c r="B195" s="1" t="n">
        <v>46111</v>
      </c>
      <c r="C195" s="1" t="n">
        <v>46200</v>
      </c>
      <c r="D195" t="inlineStr">
        <is>
          <t>VÄSTRA GÖTALANDS LÄN</t>
        </is>
      </c>
      <c r="E195" t="inlineStr">
        <is>
          <t>SKARA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16187-2026</t>
        </is>
      </c>
      <c r="B196" s="1" t="n">
        <v>46111</v>
      </c>
      <c r="C196" s="1" t="n">
        <v>46200</v>
      </c>
      <c r="D196" t="inlineStr">
        <is>
          <t>VÄSTRA GÖTALANDS LÄN</t>
        </is>
      </c>
      <c r="E196" t="inlineStr">
        <is>
          <t>SKARA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16755-2026</t>
        </is>
      </c>
      <c r="B197" s="1" t="n">
        <v>46113</v>
      </c>
      <c r="C197" s="1" t="n">
        <v>46200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17288-2026</t>
        </is>
      </c>
      <c r="B198" s="1" t="n">
        <v>46119</v>
      </c>
      <c r="C198" s="1" t="n">
        <v>46200</v>
      </c>
      <c r="D198" t="inlineStr">
        <is>
          <t>VÄSTRA GÖTALANDS LÄN</t>
        </is>
      </c>
      <c r="E198" t="inlineStr">
        <is>
          <t>SKARA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23457-2026</t>
        </is>
      </c>
      <c r="B199" s="1" t="n">
        <v>46163</v>
      </c>
      <c r="C199" s="1" t="n">
        <v>46200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23452-2026</t>
        </is>
      </c>
      <c r="B200" s="1" t="n">
        <v>46163</v>
      </c>
      <c r="C200" s="1" t="n">
        <v>46200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37036-2024</t>
        </is>
      </c>
      <c r="B201" s="1" t="n">
        <v>45539</v>
      </c>
      <c r="C201" s="1" t="n">
        <v>46200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24145-2026</t>
        </is>
      </c>
      <c r="B202" s="1" t="n">
        <v>46168</v>
      </c>
      <c r="C202" s="1" t="n">
        <v>46200</v>
      </c>
      <c r="D202" t="inlineStr">
        <is>
          <t>VÄSTRA GÖTALANDS LÄN</t>
        </is>
      </c>
      <c r="E202" t="inlineStr">
        <is>
          <t>SKARA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24143-2026</t>
        </is>
      </c>
      <c r="B203" s="1" t="n">
        <v>46168</v>
      </c>
      <c r="C203" s="1" t="n">
        <v>46200</v>
      </c>
      <c r="D203" t="inlineStr">
        <is>
          <t>VÄSTRA GÖTALANDS LÄN</t>
        </is>
      </c>
      <c r="E203" t="inlineStr">
        <is>
          <t>SKARA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18890-2026</t>
        </is>
      </c>
      <c r="B204" s="1" t="n">
        <v>46129</v>
      </c>
      <c r="C204" s="1" t="n">
        <v>46200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19950-2026</t>
        </is>
      </c>
      <c r="B205" s="1" t="n">
        <v>46136</v>
      </c>
      <c r="C205" s="1" t="n">
        <v>46200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38548-2025</t>
        </is>
      </c>
      <c r="B206" s="1" t="n">
        <v>45883</v>
      </c>
      <c r="C206" s="1" t="n">
        <v>46200</v>
      </c>
      <c r="D206" t="inlineStr">
        <is>
          <t>VÄSTRA GÖTALANDS LÄN</t>
        </is>
      </c>
      <c r="E206" t="inlineStr">
        <is>
          <t>SKARA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18606-2025</t>
        </is>
      </c>
      <c r="B207" s="1" t="n">
        <v>45763</v>
      </c>
      <c r="C207" s="1" t="n">
        <v>46200</v>
      </c>
      <c r="D207" t="inlineStr">
        <is>
          <t>VÄSTRA GÖTALANDS LÄN</t>
        </is>
      </c>
      <c r="E207" t="inlineStr">
        <is>
          <t>SKARA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25407-2025</t>
        </is>
      </c>
      <c r="B208" s="1" t="n">
        <v>45800</v>
      </c>
      <c r="C208" s="1" t="n">
        <v>46200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26333-2026</t>
        </is>
      </c>
      <c r="B209" s="1" t="n">
        <v>46182</v>
      </c>
      <c r="C209" s="1" t="n">
        <v>46200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27478-2026</t>
        </is>
      </c>
      <c r="B210" s="1" t="n">
        <v>46189</v>
      </c>
      <c r="C210" s="1" t="n">
        <v>46200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24144-2026</t>
        </is>
      </c>
      <c r="B211" s="1" t="n">
        <v>46168</v>
      </c>
      <c r="C211" s="1" t="n">
        <v>46200</v>
      </c>
      <c r="D211" t="inlineStr">
        <is>
          <t>VÄSTRA GÖTALANDS LÄN</t>
        </is>
      </c>
      <c r="E211" t="inlineStr">
        <is>
          <t>SKARA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24142-2026</t>
        </is>
      </c>
      <c r="B212" s="1" t="n">
        <v>46168</v>
      </c>
      <c r="C212" s="1" t="n">
        <v>46200</v>
      </c>
      <c r="D212" t="inlineStr">
        <is>
          <t>VÄSTRA GÖTALANDS LÄN</t>
        </is>
      </c>
      <c r="E212" t="inlineStr">
        <is>
          <t>SKARA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2026-06-27T00:53:45Z</dcterms:created>
  <dcterms:modified xmlns:dcterms="http://purl.org/dc/terms/" xmlns:xsi="http://www.w3.org/2001/XMLSchema-instance" xsi:type="dcterms:W3CDTF">2026-06-27T00:53:45Z</dcterms:modified>
</cp:coreProperties>
</file>