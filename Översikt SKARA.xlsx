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46235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46235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46235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46235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46235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4312-2023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44953</v>
      </c>
      <c r="E7" s="1" t="n">
        <v>46235</v>
      </c>
      <c r="F7" t="inlineStr">
        <is>
          <t>VÄSTRA GÖTALANDS LÄN</t>
        </is>
      </c>
      <c r="G7" t="inlineStr">
        <is>
          <t>SKARA</t>
        </is>
      </c>
      <c r="I7" t="n">
        <v>4.1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Hartmansstarr
Klasefibbla</t>
        </is>
      </c>
      <c r="W7">
        <f>HYPERLINK("https://klasma.github.io/Logging_1495/artfynd/A 4312-2023 artfynd.xlsx", "A 4312-2023")</f>
        <v/>
      </c>
      <c r="X7">
        <f>HYPERLINK("https://klasma.github.io/Logging_1495/kartor/A 4312-2023 karta.png", "A 4312-2023")</f>
        <v/>
      </c>
      <c r="Y7">
        <f>HYPERLINK("https://klasma.github.io/Logging_1495/kartor_geotiff/A 4312-2023 georefererad karta.tif", "A 4312-2023")</f>
        <v/>
      </c>
      <c r="AA7">
        <f>HYPERLINK("https://klasma.github.io/Logging_1495/klagomål/A 4312-2023 FSC-klagomål.docx", "A 4312-2023")</f>
        <v/>
      </c>
      <c r="AB7">
        <f>HYPERLINK("https://klasma.github.io/Logging_1495/klagomålsmail/A 4312-2023 FSC-klagomål mail.docx", "A 4312-2023")</f>
        <v/>
      </c>
      <c r="AC7">
        <f>HYPERLINK("https://klasma.github.io/Logging_1495/tillsyn/A 4312-2023 tillsynsbegäran.docx", "A 4312-2023")</f>
        <v/>
      </c>
      <c r="AD7">
        <f>HYPERLINK("https://klasma.github.io/Logging_1495/tillsynsmail/A 4312-2023 tillsynsbegäran mail.docx", "A 4312-2023")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46235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46235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46235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46235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46235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46235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23455-2026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46235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1.1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HYPERLINK("https://klasma.github.io/Logging_1495/artfynd/A 23455-2026 artfynd.xlsx", "A 23455-2026")</f>
        <v/>
      </c>
      <c r="X14">
        <f>HYPERLINK("https://klasma.github.io/Logging_1495/kartor/A 23455-2026 karta.png", "A 23455-2026")</f>
        <v/>
      </c>
      <c r="Y14">
        <f>HYPERLINK("https://klasma.github.io/Logging_1495/kartor_geotiff/A 23455-2026 georefererad karta.tif", "A 23455-2026")</f>
        <v/>
      </c>
      <c r="AA14">
        <f>HYPERLINK("https://klasma.github.io/Logging_1495/klagomål/A 23455-2026 FSC-klagomål.docx", "A 23455-2026")</f>
        <v/>
      </c>
      <c r="AB14">
        <f>HYPERLINK("https://klasma.github.io/Logging_1495/klagomålsmail/A 23455-2026 FSC-klagomål mail.docx", "A 23455-2026")</f>
        <v/>
      </c>
      <c r="AC14">
        <f>HYPERLINK("https://klasma.github.io/Logging_1495/tillsyn/A 23455-2026 tillsynsbegäran.docx", "A 23455-2026")</f>
        <v/>
      </c>
      <c r="AD14">
        <f>HYPERLINK("https://klasma.github.io/Logging_1495/tillsynsmail/A 23455-2026 tillsynsbegäran mail.docx", "A 23455-2026")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46235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31736-2026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46227</v>
      </c>
      <c r="E16" s="1" t="n">
        <v>46235</v>
      </c>
      <c r="F16" t="inlineStr">
        <is>
          <t>VÄSTRA GÖTALANDS LÄN</t>
        </is>
      </c>
      <c r="G16" t="inlineStr">
        <is>
          <t>SKARA</t>
        </is>
      </c>
      <c r="I16" t="n">
        <v>2.2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Dvärghäxört</t>
        </is>
      </c>
      <c r="W16">
        <f>HYPERLINK("https://klasma.github.io/Logging_1495/artfynd/A 31736-2026 artfynd.xlsx", "A 31736-2026")</f>
        <v/>
      </c>
      <c r="X16">
        <f>HYPERLINK("https://klasma.github.io/Logging_1495/kartor/A 31736-2026 karta.png", "A 31736-2026")</f>
        <v/>
      </c>
      <c r="Y16">
        <f>HYPERLINK("https://klasma.github.io/Logging_1495/kartor_geotiff/A 31736-2026 georefererad karta.tif", "A 31736-2026")</f>
        <v/>
      </c>
      <c r="AA16">
        <f>HYPERLINK("https://klasma.github.io/Logging_1495/klagomål/A 31736-2026 FSC-klagomål.docx", "A 31736-2026")</f>
        <v/>
      </c>
      <c r="AB16">
        <f>HYPERLINK("https://klasma.github.io/Logging_1495/klagomålsmail/A 31736-2026 FSC-klagomål mail.docx", "A 31736-2026")</f>
        <v/>
      </c>
      <c r="AC16">
        <f>HYPERLINK("https://klasma.github.io/Logging_1495/tillsyn/A 31736-2026 tillsynsbegäran.docx", "A 31736-2026")</f>
        <v/>
      </c>
      <c r="AD16">
        <f>HYPERLINK("https://klasma.github.io/Logging_1495/tillsynsmail/A 31736-2026 tillsynsbegäran mail.docx", "A 31736-2026")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46235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46235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HYPERLINK("https://klasma.github.io/Logging_1495/artfynd/A 19729-2026 artfynd.xlsx", "A 19729-2026")</f>
        <v/>
      </c>
      <c r="X18">
        <f>HYPERLINK("https://klasma.github.io/Logging_1495/kartor/A 19729-2026 karta.png", "A 19729-2026")</f>
        <v/>
      </c>
      <c r="Y18">
        <f>HYPERLINK("https://klasma.github.io/Logging_1495/kartor_geotiff/A 19729-2026 georefererad karta.tif", "A 19729-2026")</f>
        <v/>
      </c>
      <c r="AA18">
        <f>HYPERLINK("https://klasma.github.io/Logging_1495/klagomål/A 19729-2026 FSC-klagomål.docx", "A 19729-2026")</f>
        <v/>
      </c>
      <c r="AB18">
        <f>HYPERLINK("https://klasma.github.io/Logging_1495/klagomålsmail/A 19729-2026 FSC-klagomål mail.docx", "A 19729-2026")</f>
        <v/>
      </c>
      <c r="AC18">
        <f>HYPERLINK("https://klasma.github.io/Logging_1495/tillsyn/A 19729-2026 tillsynsbegäran.docx", "A 19729-2026")</f>
        <v/>
      </c>
      <c r="AD18">
        <f>HYPERLINK("https://klasma.github.io/Logging_1495/tillsynsmail/A 19729-2026 tillsynsbegäran mail.docx", "A 19729-2026")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46235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46235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46235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40946-2021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46235</v>
      </c>
      <c r="F22" t="inlineStr">
        <is>
          <t>VÄSTRA GÖTALANDS LÄN</t>
        </is>
      </c>
      <c r="G22" t="inlineStr">
        <is>
          <t>SKARA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46235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46235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46235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46235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46235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46235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46235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46235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46235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46235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44909</v>
      </c>
      <c r="E33" s="1" t="n">
        <v>46235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45385</v>
      </c>
      <c r="E34" s="1" t="n">
        <v>46235</v>
      </c>
      <c r="F34" t="inlineStr">
        <is>
          <t>VÄSTRA GÖTALANDS LÄN</t>
        </is>
      </c>
      <c r="G34" t="inlineStr">
        <is>
          <t>SKARA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44995</v>
      </c>
      <c r="E35" s="1" t="n">
        <v>46235</v>
      </c>
      <c r="F35" t="inlineStr">
        <is>
          <t>VÄSTRA GÖTALANDS LÄN</t>
        </is>
      </c>
      <c r="G35" t="inlineStr">
        <is>
          <t>SKARA</t>
        </is>
      </c>
      <c r="I35" t="n">
        <v>13.5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72213-2021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44544</v>
      </c>
      <c r="E36" s="1" t="n">
        <v>46235</v>
      </c>
      <c r="F36" t="inlineStr">
        <is>
          <t>VÄSTRA GÖTALANDS LÄN</t>
        </is>
      </c>
      <c r="G36" t="inlineStr">
        <is>
          <t>SKARA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44887</v>
      </c>
      <c r="E37" s="1" t="n">
        <v>46235</v>
      </c>
      <c r="F37" t="inlineStr">
        <is>
          <t>VÄSTRA GÖTALANDS LÄN</t>
        </is>
      </c>
      <c r="G37" t="inlineStr">
        <is>
          <t>SKARA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45469</v>
      </c>
      <c r="E38" s="1" t="n">
        <v>46235</v>
      </c>
      <c r="F38" t="inlineStr">
        <is>
          <t>VÄSTRA GÖTALANDS LÄN</t>
        </is>
      </c>
      <c r="G38" t="inlineStr">
        <is>
          <t>SKARA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44895</v>
      </c>
      <c r="E39" s="1" t="n">
        <v>46235</v>
      </c>
      <c r="F39" t="inlineStr">
        <is>
          <t>VÄSTRA GÖTALANDS LÄN</t>
        </is>
      </c>
      <c r="G39" t="inlineStr">
        <is>
          <t>SKARA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44728</v>
      </c>
      <c r="E40" s="1" t="n">
        <v>46235</v>
      </c>
      <c r="F40" t="inlineStr">
        <is>
          <t>VÄSTRA GÖTALANDS LÄN</t>
        </is>
      </c>
      <c r="G40" t="inlineStr">
        <is>
          <t>SKARA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50741-2021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46235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46235</v>
      </c>
      <c r="F42" t="inlineStr">
        <is>
          <t>VÄSTRA GÖTALANDS LÄN</t>
        </is>
      </c>
      <c r="G42" t="inlineStr">
        <is>
          <t>SKARA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46235</v>
      </c>
      <c r="F43" t="inlineStr">
        <is>
          <t>VÄSTRA GÖTALANDS LÄN</t>
        </is>
      </c>
      <c r="G43" t="inlineStr">
        <is>
          <t>SKARA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44530</v>
      </c>
      <c r="E44" s="1" t="n">
        <v>46235</v>
      </c>
      <c r="F44" t="inlineStr">
        <is>
          <t>VÄSTRA GÖTALANDS LÄN</t>
        </is>
      </c>
      <c r="G44" t="inlineStr">
        <is>
          <t>SKARA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46235</v>
      </c>
      <c r="F45" t="inlineStr">
        <is>
          <t>VÄSTRA GÖTALANDS LÄN</t>
        </is>
      </c>
      <c r="G45" t="inlineStr">
        <is>
          <t>SKARA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26575-2024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46235</v>
      </c>
      <c r="F46" t="inlineStr">
        <is>
          <t>VÄSTRA GÖTALANDS LÄN</t>
        </is>
      </c>
      <c r="G46" t="inlineStr">
        <is>
          <t>SKARA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50043-2023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46235</v>
      </c>
      <c r="F47" t="inlineStr">
        <is>
          <t>VÄSTRA GÖTALANDS LÄN</t>
        </is>
      </c>
      <c r="G47" t="inlineStr">
        <is>
          <t>SKARA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62890-2023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45272</v>
      </c>
      <c r="E48" s="1" t="n">
        <v>46235</v>
      </c>
      <c r="F48" t="inlineStr">
        <is>
          <t>VÄSTRA GÖTALANDS LÄN</t>
        </is>
      </c>
      <c r="G48" t="inlineStr">
        <is>
          <t>SKARA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5825-2024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45335</v>
      </c>
      <c r="E49" s="1" t="n">
        <v>46235</v>
      </c>
      <c r="F49" t="inlineStr">
        <is>
          <t>VÄSTRA GÖTALANDS LÄN</t>
        </is>
      </c>
      <c r="G49" t="inlineStr">
        <is>
          <t>SKARA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46235</v>
      </c>
      <c r="F50" t="inlineStr">
        <is>
          <t>VÄSTRA GÖTALANDS LÄN</t>
        </is>
      </c>
      <c r="G50" t="inlineStr">
        <is>
          <t>SKARA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14844-2024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45398</v>
      </c>
      <c r="E51" s="1" t="n">
        <v>46235</v>
      </c>
      <c r="F51" t="inlineStr">
        <is>
          <t>VÄSTRA GÖTALANDS LÄN</t>
        </is>
      </c>
      <c r="G51" t="inlineStr">
        <is>
          <t>SKARA</t>
        </is>
      </c>
      <c r="H51" t="inlineStr">
        <is>
          <t>Kommuner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48098-2022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44856</v>
      </c>
      <c r="E52" s="1" t="n">
        <v>46235</v>
      </c>
      <c r="F52" t="inlineStr">
        <is>
          <t>VÄSTRA GÖTALANDS LÄN</t>
        </is>
      </c>
      <c r="G52" t="inlineStr">
        <is>
          <t>SKARA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46235</v>
      </c>
      <c r="F53" t="inlineStr">
        <is>
          <t>VÄSTRA GÖTALANDS LÄN</t>
        </is>
      </c>
      <c r="G53" t="inlineStr">
        <is>
          <t>SKARA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34569-2023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45140</v>
      </c>
      <c r="E54" s="1" t="n">
        <v>46235</v>
      </c>
      <c r="F54" t="inlineStr">
        <is>
          <t>VÄSTRA GÖTALANDS LÄN</t>
        </is>
      </c>
      <c r="G54" t="inlineStr">
        <is>
          <t>SKARA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45086</v>
      </c>
      <c r="E55" s="1" t="n">
        <v>46235</v>
      </c>
      <c r="F55" t="inlineStr">
        <is>
          <t>VÄSTRA GÖTALANDS LÄN</t>
        </is>
      </c>
      <c r="G55" t="inlineStr">
        <is>
          <t>SKARA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44587</v>
      </c>
      <c r="E56" s="1" t="n">
        <v>46235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46235</v>
      </c>
      <c r="F57" t="inlineStr">
        <is>
          <t>VÄSTRA GÖTALANDS LÄN</t>
        </is>
      </c>
      <c r="G57" t="inlineStr">
        <is>
          <t>SKARA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11900-2023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44995</v>
      </c>
      <c r="E58" s="1" t="n">
        <v>46235</v>
      </c>
      <c r="F58" t="inlineStr">
        <is>
          <t>VÄSTRA GÖTALANDS LÄN</t>
        </is>
      </c>
      <c r="G58" t="inlineStr">
        <is>
          <t>SKARA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46235</v>
      </c>
      <c r="F59" t="inlineStr">
        <is>
          <t>VÄSTRA GÖTALANDS LÄN</t>
        </is>
      </c>
      <c r="G59" t="inlineStr">
        <is>
          <t>SKARA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29255-2025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46235</v>
      </c>
      <c r="F60" t="inlineStr">
        <is>
          <t>VÄSTRA GÖTALANDS LÄN</t>
        </is>
      </c>
      <c r="G60" t="inlineStr">
        <is>
          <t>SKARA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46235</v>
      </c>
      <c r="F61" t="inlineStr">
        <is>
          <t>VÄSTRA GÖTALANDS LÄN</t>
        </is>
      </c>
      <c r="G61" t="inlineStr">
        <is>
          <t>SKARA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46235</v>
      </c>
      <c r="F62" t="inlineStr">
        <is>
          <t>VÄSTRA GÖTALANDS LÄN</t>
        </is>
      </c>
      <c r="G62" t="inlineStr">
        <is>
          <t>SKARA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46235</v>
      </c>
      <c r="F63" t="inlineStr">
        <is>
          <t>VÄSTRA GÖTALANDS LÄN</t>
        </is>
      </c>
      <c r="G63" t="inlineStr">
        <is>
          <t>SKARA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39494-2025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46235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46235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46235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46235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65124-2023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46235</v>
      </c>
      <c r="F68" t="inlineStr">
        <is>
          <t>VÄSTRA GÖTALANDS LÄN</t>
        </is>
      </c>
      <c r="G68" t="inlineStr">
        <is>
          <t>SKARA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16510-2024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45408</v>
      </c>
      <c r="E69" s="1" t="n">
        <v>46235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60654-2021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46235</v>
      </c>
      <c r="F70" t="inlineStr">
        <is>
          <t>VÄSTRA GÖTALANDS LÄN</t>
        </is>
      </c>
      <c r="G70" t="inlineStr">
        <is>
          <t>SKARA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46235</v>
      </c>
      <c r="F71" t="inlineStr">
        <is>
          <t>VÄSTRA GÖTALANDS LÄN</t>
        </is>
      </c>
      <c r="G71" t="inlineStr">
        <is>
          <t>SKARA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46235</v>
      </c>
      <c r="F72" t="inlineStr">
        <is>
          <t>VÄSTRA GÖTALANDS LÄN</t>
        </is>
      </c>
      <c r="G72" t="inlineStr">
        <is>
          <t>SKARA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46235</v>
      </c>
      <c r="F73" t="inlineStr">
        <is>
          <t>VÄSTRA GÖTALANDS LÄN</t>
        </is>
      </c>
      <c r="G73" t="inlineStr">
        <is>
          <t>SKARA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46235</v>
      </c>
      <c r="F74" t="inlineStr">
        <is>
          <t>VÄSTRA GÖTALANDS LÄN</t>
        </is>
      </c>
      <c r="G74" t="inlineStr">
        <is>
          <t>SKARA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46235</v>
      </c>
      <c r="F75" t="inlineStr">
        <is>
          <t>VÄSTRA GÖTALANDS LÄN</t>
        </is>
      </c>
      <c r="G75" t="inlineStr">
        <is>
          <t>SKARA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46235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46235</v>
      </c>
      <c r="F77" t="inlineStr">
        <is>
          <t>VÄSTRA GÖTALANDS LÄN</t>
        </is>
      </c>
      <c r="G77" t="inlineStr">
        <is>
          <t>SKARA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46235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46235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46235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46235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46235</v>
      </c>
      <c r="F82" t="inlineStr">
        <is>
          <t>VÄSTRA GÖTALANDS LÄN</t>
        </is>
      </c>
      <c r="G82" t="inlineStr">
        <is>
          <t>SKARA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46235</v>
      </c>
      <c r="F83" t="inlineStr">
        <is>
          <t>VÄSTRA GÖTALANDS LÄN</t>
        </is>
      </c>
      <c r="G83" t="inlineStr">
        <is>
          <t>SKARA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47010-2025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46235</v>
      </c>
      <c r="F84" t="inlineStr">
        <is>
          <t>VÄSTRA GÖTALANDS LÄN</t>
        </is>
      </c>
      <c r="G84" t="inlineStr">
        <is>
          <t>SKARA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44937</v>
      </c>
      <c r="E85" s="1" t="n">
        <v>46235</v>
      </c>
      <c r="F85" t="inlineStr">
        <is>
          <t>VÄSTRA GÖTALANDS LÄN</t>
        </is>
      </c>
      <c r="G85" t="inlineStr">
        <is>
          <t>SKARA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46235</v>
      </c>
      <c r="F86" t="inlineStr">
        <is>
          <t>VÄSTRA GÖTALANDS LÄN</t>
        </is>
      </c>
      <c r="G86" t="inlineStr">
        <is>
          <t>SKARA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60840-2021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46235</v>
      </c>
      <c r="F87" t="inlineStr">
        <is>
          <t>VÄSTRA GÖTALANDS LÄN</t>
        </is>
      </c>
      <c r="G87" t="inlineStr">
        <is>
          <t>SKARA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46235</v>
      </c>
      <c r="F88" t="inlineStr">
        <is>
          <t>VÄSTRA GÖTALANDS LÄN</t>
        </is>
      </c>
      <c r="G88" t="inlineStr">
        <is>
          <t>SKARA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46235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46235</v>
      </c>
      <c r="F90" t="inlineStr">
        <is>
          <t>VÄSTRA GÖTALANDS LÄN</t>
        </is>
      </c>
      <c r="G90" t="inlineStr">
        <is>
          <t>SKARA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46235</v>
      </c>
      <c r="F91" t="inlineStr">
        <is>
          <t>VÄSTRA GÖTALANDS LÄN</t>
        </is>
      </c>
      <c r="G91" t="inlineStr">
        <is>
          <t>SKARA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45145</v>
      </c>
      <c r="E92" s="1" t="n">
        <v>46235</v>
      </c>
      <c r="F92" t="inlineStr">
        <is>
          <t>VÄSTRA GÖTALANDS LÄN</t>
        </is>
      </c>
      <c r="G92" t="inlineStr">
        <is>
          <t>SKARA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46235</v>
      </c>
      <c r="F93" t="inlineStr">
        <is>
          <t>VÄSTRA GÖTALANDS LÄN</t>
        </is>
      </c>
      <c r="G93" t="inlineStr">
        <is>
          <t>SKARA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46235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45514</v>
      </c>
      <c r="E95" s="1" t="n">
        <v>46235</v>
      </c>
      <c r="F95" t="inlineStr">
        <is>
          <t>VÄSTRA GÖTALANDS LÄN</t>
        </is>
      </c>
      <c r="G95" t="inlineStr">
        <is>
          <t>SKARA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31128-2023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45113</v>
      </c>
      <c r="E96" s="1" t="n">
        <v>46235</v>
      </c>
      <c r="F96" t="inlineStr">
        <is>
          <t>VÄSTRA GÖTALANDS LÄN</t>
        </is>
      </c>
      <c r="G96" t="inlineStr">
        <is>
          <t>SKARA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46235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46235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46235</v>
      </c>
      <c r="F99" t="inlineStr">
        <is>
          <t>VÄSTRA GÖTALANDS LÄN</t>
        </is>
      </c>
      <c r="G99" t="inlineStr">
        <is>
          <t>SKARA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43564-2021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44433</v>
      </c>
      <c r="E100" s="1" t="n">
        <v>46235</v>
      </c>
      <c r="F100" t="inlineStr">
        <is>
          <t>VÄSTRA GÖTALANDS LÄN</t>
        </is>
      </c>
      <c r="G100" t="inlineStr">
        <is>
          <t>SKARA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44642</v>
      </c>
      <c r="E101" s="1" t="n">
        <v>46235</v>
      </c>
      <c r="F101" t="inlineStr">
        <is>
          <t>VÄSTRA GÖTALANDS LÄN</t>
        </is>
      </c>
      <c r="G101" t="inlineStr">
        <is>
          <t>SKARA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44990</v>
      </c>
      <c r="E102" s="1" t="n">
        <v>46235</v>
      </c>
      <c r="F102" t="inlineStr">
        <is>
          <t>VÄSTRA GÖTALANDS LÄN</t>
        </is>
      </c>
      <c r="G102" t="inlineStr">
        <is>
          <t>SKARA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45098</v>
      </c>
      <c r="E103" s="1" t="n">
        <v>46235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42874-2022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44832</v>
      </c>
      <c r="E104" s="1" t="n">
        <v>46235</v>
      </c>
      <c r="F104" t="inlineStr">
        <is>
          <t>VÄSTRA GÖTALANDS LÄN</t>
        </is>
      </c>
      <c r="G104" t="inlineStr">
        <is>
          <t>SKARA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46235</v>
      </c>
      <c r="F105" t="inlineStr">
        <is>
          <t>VÄSTRA GÖTALANDS LÄN</t>
        </is>
      </c>
      <c r="G105" t="inlineStr">
        <is>
          <t>SKARA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45667</v>
      </c>
      <c r="E106" s="1" t="n">
        <v>46235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46235</v>
      </c>
      <c r="F107" t="inlineStr">
        <is>
          <t>VÄSTRA GÖTALANDS LÄN</t>
        </is>
      </c>
      <c r="G107" t="inlineStr">
        <is>
          <t>SKARA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45288</v>
      </c>
      <c r="E108" s="1" t="n">
        <v>46235</v>
      </c>
      <c r="F108" t="inlineStr">
        <is>
          <t>VÄSTRA GÖTALANDS LÄN</t>
        </is>
      </c>
      <c r="G108" t="inlineStr">
        <is>
          <t>SKARA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46235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45043</v>
      </c>
      <c r="E110" s="1" t="n">
        <v>46235</v>
      </c>
      <c r="F110" t="inlineStr">
        <is>
          <t>VÄSTRA GÖTALANDS LÄN</t>
        </is>
      </c>
      <c r="G110" t="inlineStr">
        <is>
          <t>SKARA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46163</v>
      </c>
      <c r="E111" s="1" t="n">
        <v>46235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46235</v>
      </c>
      <c r="F112" t="inlineStr">
        <is>
          <t>VÄSTRA GÖTALANDS LÄN</t>
        </is>
      </c>
      <c r="G112" t="inlineStr">
        <is>
          <t>SKARA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45492</v>
      </c>
      <c r="E113" s="1" t="n">
        <v>46235</v>
      </c>
      <c r="F113" t="inlineStr">
        <is>
          <t>VÄSTRA GÖTALANDS LÄN</t>
        </is>
      </c>
      <c r="G113" t="inlineStr">
        <is>
          <t>SKARA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45091</v>
      </c>
      <c r="E114" s="1" t="n">
        <v>46235</v>
      </c>
      <c r="F114" t="inlineStr">
        <is>
          <t>VÄSTRA GÖTALANDS LÄN</t>
        </is>
      </c>
      <c r="G114" t="inlineStr">
        <is>
          <t>SKARA</t>
        </is>
      </c>
      <c r="I114" t="n">
        <v>21.6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45224</v>
      </c>
      <c r="E115" s="1" t="n">
        <v>46235</v>
      </c>
      <c r="F115" t="inlineStr">
        <is>
          <t>VÄSTRA GÖTALANDS LÄN</t>
        </is>
      </c>
      <c r="G115" t="inlineStr">
        <is>
          <t>SKARA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37460-2023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45156</v>
      </c>
      <c r="E116" s="1" t="n">
        <v>46235</v>
      </c>
      <c r="F116" t="inlineStr">
        <is>
          <t>VÄSTRA GÖTALANDS LÄN</t>
        </is>
      </c>
      <c r="G116" t="inlineStr">
        <is>
          <t>SKARA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46163</v>
      </c>
      <c r="E117" s="1" t="n">
        <v>46235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46235</v>
      </c>
      <c r="F118" t="inlineStr">
        <is>
          <t>VÄSTRA GÖTALANDS LÄN</t>
        </is>
      </c>
      <c r="G118" t="inlineStr">
        <is>
          <t>SKARA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46168</v>
      </c>
      <c r="E119" s="1" t="n">
        <v>46235</v>
      </c>
      <c r="F119" t="inlineStr">
        <is>
          <t>VÄSTRA GÖTALANDS LÄN</t>
        </is>
      </c>
      <c r="G119" t="inlineStr">
        <is>
          <t>SKARA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46168</v>
      </c>
      <c r="E120" s="1" t="n">
        <v>46235</v>
      </c>
      <c r="F120" t="inlineStr">
        <is>
          <t>VÄSTRA GÖTALANDS LÄN</t>
        </is>
      </c>
      <c r="G120" t="inlineStr">
        <is>
          <t>SKARA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46235</v>
      </c>
      <c r="F121" t="inlineStr">
        <is>
          <t>VÄSTRA GÖTALANDS LÄN</t>
        </is>
      </c>
      <c r="G121" t="inlineStr">
        <is>
          <t>SKARA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46235</v>
      </c>
      <c r="F122" t="inlineStr">
        <is>
          <t>VÄSTRA GÖTALANDS LÄN</t>
        </is>
      </c>
      <c r="G122" t="inlineStr">
        <is>
          <t>SKARA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45149</v>
      </c>
      <c r="E123" s="1" t="n">
        <v>46235</v>
      </c>
      <c r="F123" t="inlineStr">
        <is>
          <t>VÄSTRA GÖTALANDS LÄN</t>
        </is>
      </c>
      <c r="G123" t="inlineStr">
        <is>
          <t>SKARA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46235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46168</v>
      </c>
      <c r="E125" s="1" t="n">
        <v>46235</v>
      </c>
      <c r="F125" t="inlineStr">
        <is>
          <t>VÄSTRA GÖTALANDS LÄN</t>
        </is>
      </c>
      <c r="G125" t="inlineStr">
        <is>
          <t>SKARA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46235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Kyrkan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30019-2023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45109</v>
      </c>
      <c r="E127" s="1" t="n">
        <v>46235</v>
      </c>
      <c r="F127" t="inlineStr">
        <is>
          <t>VÄSTRA GÖTALANDS LÄN</t>
        </is>
      </c>
      <c r="G127" t="inlineStr">
        <is>
          <t>SKARA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46235</v>
      </c>
      <c r="F128" t="inlineStr">
        <is>
          <t>VÄSTRA GÖTALANDS LÄN</t>
        </is>
      </c>
      <c r="G128" t="inlineStr">
        <is>
          <t>SKARA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46235</v>
      </c>
      <c r="F129" t="inlineStr">
        <is>
          <t>VÄSTRA GÖTALANDS LÄN</t>
        </is>
      </c>
      <c r="G129" t="inlineStr">
        <is>
          <t>SKARA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55202-2024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46235</v>
      </c>
      <c r="F130" t="inlineStr">
        <is>
          <t>VÄSTRA GÖTALANDS LÄN</t>
        </is>
      </c>
      <c r="G130" t="inlineStr">
        <is>
          <t>SKARA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55211-2024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46235</v>
      </c>
      <c r="F131" t="inlineStr">
        <is>
          <t>VÄSTRA GÖTALANDS LÄN</t>
        </is>
      </c>
      <c r="G131" t="inlineStr">
        <is>
          <t>SKARA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46235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46235</v>
      </c>
      <c r="F133" t="inlineStr">
        <is>
          <t>VÄSTRA GÖTALANDS LÄN</t>
        </is>
      </c>
      <c r="G133" t="inlineStr">
        <is>
          <t>SKARA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46235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45356</v>
      </c>
      <c r="E135" s="1" t="n">
        <v>46235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45309</v>
      </c>
      <c r="E136" s="1" t="n">
        <v>46235</v>
      </c>
      <c r="F136" t="inlineStr">
        <is>
          <t>VÄSTRA GÖTALANDS LÄN</t>
        </is>
      </c>
      <c r="G136" t="inlineStr">
        <is>
          <t>SKARA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45492</v>
      </c>
      <c r="E137" s="1" t="n">
        <v>46235</v>
      </c>
      <c r="F137" t="inlineStr">
        <is>
          <t>VÄSTRA GÖTALANDS LÄN</t>
        </is>
      </c>
      <c r="G137" t="inlineStr">
        <is>
          <t>SKARA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44887</v>
      </c>
      <c r="E138" s="1" t="n">
        <v>46235</v>
      </c>
      <c r="F138" t="inlineStr">
        <is>
          <t>VÄSTRA GÖTALANDS LÄN</t>
        </is>
      </c>
      <c r="G138" t="inlineStr">
        <is>
          <t>SKARA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46235</v>
      </c>
      <c r="F139" t="inlineStr">
        <is>
          <t>VÄSTRA GÖTALANDS LÄN</t>
        </is>
      </c>
      <c r="G139" t="inlineStr">
        <is>
          <t>SKARA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46052</v>
      </c>
      <c r="E140" s="1" t="n">
        <v>46235</v>
      </c>
      <c r="F140" t="inlineStr">
        <is>
          <t>VÄSTRA GÖTALANDS LÄN</t>
        </is>
      </c>
      <c r="G140" t="inlineStr">
        <is>
          <t>SKARA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46052</v>
      </c>
      <c r="E141" s="1" t="n">
        <v>46235</v>
      </c>
      <c r="F141" t="inlineStr">
        <is>
          <t>VÄSTRA GÖTALANDS LÄN</t>
        </is>
      </c>
      <c r="G141" t="inlineStr">
        <is>
          <t>SKARA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45175</v>
      </c>
      <c r="E142" s="1" t="n">
        <v>46235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Kommuner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46235</v>
      </c>
      <c r="F143" t="inlineStr">
        <is>
          <t>VÄSTRA GÖTALANDS LÄN</t>
        </is>
      </c>
      <c r="G143" t="inlineStr">
        <is>
          <t>SKARA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46235</v>
      </c>
      <c r="F144" t="inlineStr">
        <is>
          <t>VÄSTRA GÖTALANDS LÄN</t>
        </is>
      </c>
      <c r="G144" t="inlineStr">
        <is>
          <t>SKARA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46235</v>
      </c>
      <c r="F145" t="inlineStr">
        <is>
          <t>VÄSTRA GÖTALANDS LÄN</t>
        </is>
      </c>
      <c r="G145" t="inlineStr">
        <is>
          <t>SKARA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7530-2026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46235</v>
      </c>
      <c r="F146" t="inlineStr">
        <is>
          <t>VÄSTRA GÖTALANDS LÄN</t>
        </is>
      </c>
      <c r="G146" t="inlineStr">
        <is>
          <t>SKARA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46235</v>
      </c>
      <c r="F147" t="inlineStr">
        <is>
          <t>VÄSTRA GÖTALANDS LÄN</t>
        </is>
      </c>
      <c r="G147" t="inlineStr">
        <is>
          <t>SKARA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46182</v>
      </c>
      <c r="E148" s="1" t="n">
        <v>46235</v>
      </c>
      <c r="F148" t="inlineStr">
        <is>
          <t>VÄSTRA GÖTALANDS LÄN</t>
        </is>
      </c>
      <c r="G148" t="inlineStr">
        <is>
          <t>SKARA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45719</v>
      </c>
      <c r="E149" s="1" t="n">
        <v>46235</v>
      </c>
      <c r="F149" t="inlineStr">
        <is>
          <t>VÄSTRA GÖTALANDS LÄN</t>
        </is>
      </c>
      <c r="G149" t="inlineStr">
        <is>
          <t>SKARA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46235</v>
      </c>
      <c r="F150" t="inlineStr">
        <is>
          <t>VÄSTRA GÖTALANDS LÄN</t>
        </is>
      </c>
      <c r="G150" t="inlineStr">
        <is>
          <t>SKARA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46235</v>
      </c>
      <c r="F151" t="inlineStr">
        <is>
          <t>VÄSTRA GÖTALANDS LÄN</t>
        </is>
      </c>
      <c r="G151" t="inlineStr">
        <is>
          <t>SKARA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27668-2022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44743</v>
      </c>
      <c r="E152" s="1" t="n">
        <v>46235</v>
      </c>
      <c r="F152" t="inlineStr">
        <is>
          <t>VÄSTRA GÖTALANDS LÄN</t>
        </is>
      </c>
      <c r="G152" t="inlineStr">
        <is>
          <t>SKARA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46203</v>
      </c>
      <c r="E153" s="1" t="n">
        <v>46235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Kyrkan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27478-2026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46189</v>
      </c>
      <c r="E154" s="1" t="n">
        <v>46235</v>
      </c>
      <c r="F154" t="inlineStr">
        <is>
          <t>VÄSTRA GÖTALANDS LÄN</t>
        </is>
      </c>
      <c r="G154" t="inlineStr">
        <is>
          <t>SKARA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46072</v>
      </c>
      <c r="E155" s="1" t="n">
        <v>46235</v>
      </c>
      <c r="F155" t="inlineStr">
        <is>
          <t>VÄSTRA GÖTALANDS LÄN</t>
        </is>
      </c>
      <c r="G155" t="inlineStr">
        <is>
          <t>SKARA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46235</v>
      </c>
      <c r="F156" t="inlineStr">
        <is>
          <t>VÄSTRA GÖTALANDS LÄN</t>
        </is>
      </c>
      <c r="G156" t="inlineStr">
        <is>
          <t>SKARA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46235</v>
      </c>
      <c r="F157" t="inlineStr">
        <is>
          <t>VÄSTRA GÖTALANDS LÄN</t>
        </is>
      </c>
      <c r="G157" t="inlineStr">
        <is>
          <t>SKARA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46235</v>
      </c>
      <c r="F158" t="inlineStr">
        <is>
          <t>VÄSTRA GÖTALANDS LÄN</t>
        </is>
      </c>
      <c r="G158" t="inlineStr">
        <is>
          <t>SKARA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46235</v>
      </c>
      <c r="F159" t="inlineStr">
        <is>
          <t>VÄSTRA GÖTALANDS LÄN</t>
        </is>
      </c>
      <c r="G159" t="inlineStr">
        <is>
          <t>SKARA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44844</v>
      </c>
      <c r="E160" s="1" t="n">
        <v>46235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26084-2023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45091</v>
      </c>
      <c r="E161" s="1" t="n">
        <v>46235</v>
      </c>
      <c r="F161" t="inlineStr">
        <is>
          <t>VÄSTRA GÖTALANDS LÄN</t>
        </is>
      </c>
      <c r="G161" t="inlineStr">
        <is>
          <t>SKARA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12332-2026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46087</v>
      </c>
      <c r="E162" s="1" t="n">
        <v>46235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46093</v>
      </c>
      <c r="E163" s="1" t="n">
        <v>46235</v>
      </c>
      <c r="F163" t="inlineStr">
        <is>
          <t>VÄSTRA GÖTALANDS LÄN</t>
        </is>
      </c>
      <c r="G163" t="inlineStr">
        <is>
          <t>SKARA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46235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46235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45758</v>
      </c>
      <c r="E166" s="1" t="n">
        <v>46235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46101</v>
      </c>
      <c r="E167" s="1" t="n">
        <v>46235</v>
      </c>
      <c r="F167" t="inlineStr">
        <is>
          <t>VÄSTRA GÖTALANDS LÄN</t>
        </is>
      </c>
      <c r="G167" t="inlineStr">
        <is>
          <t>SKARA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45420</v>
      </c>
      <c r="E168" s="1" t="n">
        <v>46235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46101</v>
      </c>
      <c r="E169" s="1" t="n">
        <v>46235</v>
      </c>
      <c r="F169" t="inlineStr">
        <is>
          <t>VÄSTRA GÖTALANDS LÄN</t>
        </is>
      </c>
      <c r="G169" t="inlineStr">
        <is>
          <t>SKARA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46235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45313</v>
      </c>
      <c r="E171" s="1" t="n">
        <v>46235</v>
      </c>
      <c r="F171" t="inlineStr">
        <is>
          <t>VÄSTRA GÖTALANDS LÄN</t>
        </is>
      </c>
      <c r="G171" t="inlineStr">
        <is>
          <t>SKARA</t>
        </is>
      </c>
      <c r="I171" t="n">
        <v>11.7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46235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46106</v>
      </c>
      <c r="E173" s="1" t="n">
        <v>46235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46106</v>
      </c>
      <c r="E174" s="1" t="n">
        <v>46235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16085-2026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46235</v>
      </c>
      <c r="F175" t="inlineStr">
        <is>
          <t>VÄSTRA GÖTALANDS LÄN</t>
        </is>
      </c>
      <c r="G175" t="inlineStr">
        <is>
          <t>SKARA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46235</v>
      </c>
      <c r="F176" t="inlineStr">
        <is>
          <t>VÄSTRA GÖTALANDS LÄN</t>
        </is>
      </c>
      <c r="G176" t="inlineStr">
        <is>
          <t>SKARA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46235</v>
      </c>
      <c r="F177" t="inlineStr">
        <is>
          <t>VÄSTRA GÖTALANDS LÄN</t>
        </is>
      </c>
      <c r="G177" t="inlineStr">
        <is>
          <t>SKARA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46235</v>
      </c>
      <c r="F178" t="inlineStr">
        <is>
          <t>VÄSTRA GÖTALANDS LÄN</t>
        </is>
      </c>
      <c r="G178" t="inlineStr">
        <is>
          <t>SKARA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46235</v>
      </c>
      <c r="F179" t="inlineStr">
        <is>
          <t>VÄSTRA GÖTALANDS LÄN</t>
        </is>
      </c>
      <c r="G179" t="inlineStr">
        <is>
          <t>SKARA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46113</v>
      </c>
      <c r="E180" s="1" t="n">
        <v>46235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44701</v>
      </c>
      <c r="E181" s="1" t="n">
        <v>46235</v>
      </c>
      <c r="F181" t="inlineStr">
        <is>
          <t>VÄSTRA GÖTALANDS LÄN</t>
        </is>
      </c>
      <c r="G181" t="inlineStr">
        <is>
          <t>SKARA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46119</v>
      </c>
      <c r="E182" s="1" t="n">
        <v>46235</v>
      </c>
      <c r="F182" t="inlineStr">
        <is>
          <t>VÄSTRA GÖTALANDS LÄN</t>
        </is>
      </c>
      <c r="G182" t="inlineStr">
        <is>
          <t>SKARA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44698</v>
      </c>
      <c r="E183" s="1" t="n">
        <v>46235</v>
      </c>
      <c r="F183" t="inlineStr">
        <is>
          <t>VÄSTRA GÖTALANDS LÄN</t>
        </is>
      </c>
      <c r="G183" t="inlineStr">
        <is>
          <t>SKARA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45639</v>
      </c>
      <c r="E184" s="1" t="n">
        <v>46235</v>
      </c>
      <c r="F184" t="inlineStr">
        <is>
          <t>VÄSTRA GÖTALANDS LÄN</t>
        </is>
      </c>
      <c r="G184" t="inlineStr">
        <is>
          <t>SKARA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46235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46129</v>
      </c>
      <c r="E186" s="1" t="n">
        <v>46235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Sveaskog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45299</v>
      </c>
      <c r="E187" s="1" t="n">
        <v>46235</v>
      </c>
      <c r="F187" t="inlineStr">
        <is>
          <t>VÄSTRA GÖTALANDS LÄN</t>
        </is>
      </c>
      <c r="G187" t="inlineStr">
        <is>
          <t>SKARA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45370</v>
      </c>
      <c r="E188" s="1" t="n">
        <v>46235</v>
      </c>
      <c r="F188" t="inlineStr">
        <is>
          <t>VÄSTRA GÖTALANDS LÄN</t>
        </is>
      </c>
      <c r="G188" t="inlineStr">
        <is>
          <t>SKARA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19950-2026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46136</v>
      </c>
      <c r="E189" s="1" t="n">
        <v>46235</v>
      </c>
      <c r="F189" t="inlineStr">
        <is>
          <t>VÄSTRA GÖTALANDS LÄN</t>
        </is>
      </c>
      <c r="G189" t="inlineStr">
        <is>
          <t>SKARA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45595</v>
      </c>
      <c r="E190" s="1" t="n">
        <v>46235</v>
      </c>
      <c r="F190" t="inlineStr">
        <is>
          <t>VÄSTRA GÖTALANDS LÄN</t>
        </is>
      </c>
      <c r="G190" t="inlineStr">
        <is>
          <t>SKARA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45313</v>
      </c>
      <c r="E191" s="1" t="n">
        <v>46235</v>
      </c>
      <c r="F191" t="inlineStr">
        <is>
          <t>VÄSTRA GÖTALANDS LÄN</t>
        </is>
      </c>
      <c r="G191" t="inlineStr">
        <is>
          <t>SKARA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45635</v>
      </c>
      <c r="E192" s="1" t="n">
        <v>46235</v>
      </c>
      <c r="F192" t="inlineStr">
        <is>
          <t>VÄSTRA GÖTALANDS LÄN</t>
        </is>
      </c>
      <c r="G192" t="inlineStr">
        <is>
          <t>SKARA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46235</v>
      </c>
      <c r="F193" t="inlineStr">
        <is>
          <t>VÄSTRA GÖTALANDS LÄN</t>
        </is>
      </c>
      <c r="G193" t="inlineStr">
        <is>
          <t>SKARA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46235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45763</v>
      </c>
      <c r="E195" s="1" t="n">
        <v>46235</v>
      </c>
      <c r="F195" t="inlineStr">
        <is>
          <t>VÄSTRA GÖTALANDS LÄN</t>
        </is>
      </c>
      <c r="G195" t="inlineStr">
        <is>
          <t>SKARA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44687</v>
      </c>
      <c r="E196" s="1" t="n">
        <v>46235</v>
      </c>
      <c r="F196" t="inlineStr">
        <is>
          <t>VÄSTRA GÖTALANDS LÄN</t>
        </is>
      </c>
      <c r="G196" t="inlineStr">
        <is>
          <t>SKARA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46235</v>
      </c>
      <c r="F197" t="inlineStr">
        <is>
          <t>VÄSTRA GÖTALANDS LÄN</t>
        </is>
      </c>
      <c r="G197" t="inlineStr">
        <is>
          <t>SKARA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41562-2022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44827</v>
      </c>
      <c r="E198" s="1" t="n">
        <v>46235</v>
      </c>
      <c r="F198" t="inlineStr">
        <is>
          <t>VÄSTRA GÖTALANDS LÄN</t>
        </is>
      </c>
      <c r="G198" t="inlineStr">
        <is>
          <t>SKARA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45314</v>
      </c>
      <c r="E199" s="1" t="n">
        <v>46235</v>
      </c>
      <c r="F199" t="inlineStr">
        <is>
          <t>VÄSTRA GÖTALANDS LÄN</t>
        </is>
      </c>
      <c r="G199" t="inlineStr">
        <is>
          <t>SKARA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45687</v>
      </c>
      <c r="E200" s="1" t="n">
        <v>46235</v>
      </c>
      <c r="F200" t="inlineStr">
        <is>
          <t>VÄSTRA GÖTALANDS LÄN</t>
        </is>
      </c>
      <c r="G200" t="inlineStr">
        <is>
          <t>SKARA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46235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46235</v>
      </c>
      <c r="F202" t="inlineStr">
        <is>
          <t>VÄSTRA GÖTALANDS LÄN</t>
        </is>
      </c>
      <c r="G202" t="inlineStr">
        <is>
          <t>SKARA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44946</v>
      </c>
      <c r="E203" s="1" t="n">
        <v>46235</v>
      </c>
      <c r="F203" t="inlineStr">
        <is>
          <t>VÄSTRA GÖTALANDS LÄN</t>
        </is>
      </c>
      <c r="G203" t="inlineStr">
        <is>
          <t>SKARA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46235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46235</v>
      </c>
      <c r="F205" t="inlineStr">
        <is>
          <t>VÄSTRA GÖTALANDS LÄN</t>
        </is>
      </c>
      <c r="G205" t="inlineStr">
        <is>
          <t>SKARA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46235</v>
      </c>
      <c r="F206" t="inlineStr">
        <is>
          <t>VÄSTRA GÖTALANDS LÄN</t>
        </is>
      </c>
      <c r="G206" t="inlineStr">
        <is>
          <t>SKARA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46235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46235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45776</v>
      </c>
      <c r="E209" s="1" t="n">
        <v>46235</v>
      </c>
      <c r="F209" t="inlineStr">
        <is>
          <t>VÄSTRA GÖTALANDS LÄN</t>
        </is>
      </c>
      <c r="G209" t="inlineStr">
        <is>
          <t>SKARA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44687</v>
      </c>
      <c r="E210" s="1" t="n">
        <v>46235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Kommuner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60233-2023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45258</v>
      </c>
      <c r="E211" s="1" t="n">
        <v>46235</v>
      </c>
      <c r="F211" t="inlineStr">
        <is>
          <t>VÄSTRA GÖTALANDS LÄN</t>
        </is>
      </c>
      <c r="G211" t="inlineStr">
        <is>
          <t>SKARA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46235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46235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2026-08-01T01:47:40Z</dcterms:created>
  <dcterms:modified xmlns:dcterms="http://purl.org/dc/terms/" xmlns:xsi="http://www.w3.org/2001/XMLSchema-instance" xsi:type="dcterms:W3CDTF">2026-08-01T01:47:41Z</dcterms:modified>
</cp:coreProperties>
</file>