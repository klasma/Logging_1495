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46269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46269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46269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46269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52041-2023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45223</v>
      </c>
      <c r="E15" s="1" t="n">
        <v>46269</v>
      </c>
      <c r="F15" t="inlineStr">
        <is>
          <t>VÄSTRA GÖTALANDS LÄN</t>
        </is>
      </c>
      <c r="G15" t="inlineStr">
        <is>
          <t>SKARA</t>
        </is>
      </c>
      <c r="I15" t="n">
        <v>5.9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HYPERLINK("https://klasma.github.io/Logging_1495/artfynd/A 52041-2023 artfynd.xlsx", "A 52041-2023")</f>
        <v/>
      </c>
      <c r="X15">
        <f>HYPERLINK("https://klasma.github.io/Logging_1495/kartor/A 52041-2023 karta.png", "A 52041-2023")</f>
        <v/>
      </c>
      <c r="Y15">
        <f>HYPERLINK("https://klasma.github.io/Logging_1495/kartor_geotiff/A 52041-2023 georefererad karta.tif", "A 52041-2023")</f>
        <v/>
      </c>
      <c r="AA15">
        <f>HYPERLINK("https://klasma.github.io/Logging_1495/klagomål/A 52041-2023 FSC-klagomål.docx", "A 52041-2023")</f>
        <v/>
      </c>
      <c r="AB15">
        <f>HYPERLINK("https://klasma.github.io/Logging_1495/klagomålsmail/A 52041-2023 FSC-klagomål mail.docx", "A 52041-2023")</f>
        <v/>
      </c>
      <c r="AC15">
        <f>HYPERLINK("https://klasma.github.io/Logging_1495/tillsyn/A 52041-2023 tillsynsbegäran.docx", "A 52041-2023")</f>
        <v/>
      </c>
      <c r="AD15">
        <f>HYPERLINK("https://klasma.github.io/Logging_1495/tillsynsmail/A 52041-2023 tillsynsbegäran mail.docx", "A 52041-2023")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46269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46269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55928-2025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46269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5.1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Motaggsvamp</t>
        </is>
      </c>
      <c r="W18">
        <f>HYPERLINK("https://klasma.github.io/Logging_1495/artfynd/A 55928-2025 artfynd.xlsx", "A 55928-2025")</f>
        <v/>
      </c>
      <c r="X18">
        <f>HYPERLINK("https://klasma.github.io/Logging_1495/kartor/A 55928-2025 karta.png", "A 55928-2025")</f>
        <v/>
      </c>
      <c r="Y18">
        <f>HYPERLINK("https://klasma.github.io/Logging_1495/kartor_geotiff/A 55928-2025 georefererad karta.tif", "A 55928-2025")</f>
        <v/>
      </c>
      <c r="AA18">
        <f>HYPERLINK("https://klasma.github.io/Logging_1495/klagomål/A 55928-2025 FSC-klagomål.docx", "A 55928-2025")</f>
        <v/>
      </c>
      <c r="AB18">
        <f>HYPERLINK("https://klasma.github.io/Logging_1495/klagomålsmail/A 55928-2025 FSC-klagomål mail.docx", "A 55928-2025")</f>
        <v/>
      </c>
      <c r="AC18">
        <f>HYPERLINK("https://klasma.github.io/Logging_1495/tillsyn/A 55928-2025 tillsynsbegäran.docx", "A 55928-2025")</f>
        <v/>
      </c>
      <c r="AD18">
        <f>HYPERLINK("https://klasma.github.io/Logging_1495/tillsynsmail/A 55928-2025 tillsynsbegäran mail.docx", "A 55928-2025")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46269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46269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46269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46269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46269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44728</v>
      </c>
      <c r="E30" s="1" t="n">
        <v>46269</v>
      </c>
      <c r="F30" t="inlineStr">
        <is>
          <t>VÄSTRA GÖTALANDS LÄN</t>
        </is>
      </c>
      <c r="G30" t="inlineStr">
        <is>
          <t>SKARA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46269</v>
      </c>
      <c r="F31" t="inlineStr">
        <is>
          <t>VÄSTRA GÖTALANDS LÄN</t>
        </is>
      </c>
      <c r="G31" t="inlineStr">
        <is>
          <t>SKARA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46269</v>
      </c>
      <c r="F32" t="inlineStr">
        <is>
          <t>VÄSTRA GÖTALANDS LÄN</t>
        </is>
      </c>
      <c r="G32" t="inlineStr">
        <is>
          <t>SKARA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44659</v>
      </c>
      <c r="E33" s="1" t="n">
        <v>46269</v>
      </c>
      <c r="F33" t="inlineStr">
        <is>
          <t>VÄSTRA GÖTALANDS LÄN</t>
        </is>
      </c>
      <c r="G33" t="inlineStr">
        <is>
          <t>SKARA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46269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72213-2021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44544</v>
      </c>
      <c r="E35" s="1" t="n">
        <v>46269</v>
      </c>
      <c r="F35" t="inlineStr">
        <is>
          <t>VÄSTRA GÖTALANDS LÄN</t>
        </is>
      </c>
      <c r="G35" t="inlineStr">
        <is>
          <t>SKARA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46269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44973</v>
      </c>
      <c r="E37" s="1" t="n">
        <v>46269</v>
      </c>
      <c r="F37" t="inlineStr">
        <is>
          <t>VÄSTRA GÖTALANDS LÄN</t>
        </is>
      </c>
      <c r="G37" t="inlineStr">
        <is>
          <t>SKARA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46269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46269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46269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46269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46269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45595</v>
      </c>
      <c r="E43" s="1" t="n">
        <v>46269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5825-2024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45335</v>
      </c>
      <c r="E44" s="1" t="n">
        <v>46269</v>
      </c>
      <c r="F44" t="inlineStr">
        <is>
          <t>VÄSTRA GÖTALANDS LÄN</t>
        </is>
      </c>
      <c r="G44" t="inlineStr">
        <is>
          <t>SKARA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58683-2024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46269</v>
      </c>
      <c r="F45" t="inlineStr">
        <is>
          <t>VÄSTRA GÖTALANDS LÄN</t>
        </is>
      </c>
      <c r="G45" t="inlineStr">
        <is>
          <t>SKARA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14844-2024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45398</v>
      </c>
      <c r="E46" s="1" t="n">
        <v>46269</v>
      </c>
      <c r="F46" t="inlineStr">
        <is>
          <t>VÄSTRA GÖTALANDS LÄN</t>
        </is>
      </c>
      <c r="G46" t="inlineStr">
        <is>
          <t>SKARA</t>
        </is>
      </c>
      <c r="H46" t="inlineStr">
        <is>
          <t>Kommuner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48098-2022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44856</v>
      </c>
      <c r="E47" s="1" t="n">
        <v>46269</v>
      </c>
      <c r="F47" t="inlineStr">
        <is>
          <t>VÄSTRA GÖTALANDS LÄN</t>
        </is>
      </c>
      <c r="G47" t="inlineStr">
        <is>
          <t>SKARA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9006-2022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44615</v>
      </c>
      <c r="E48" s="1" t="n">
        <v>46269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46269</v>
      </c>
      <c r="F49" t="inlineStr">
        <is>
          <t>VÄSTRA GÖTALANDS LÄN</t>
        </is>
      </c>
      <c r="G49" t="inlineStr">
        <is>
          <t>SKARA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9118-2025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45713</v>
      </c>
      <c r="E50" s="1" t="n">
        <v>46269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46269</v>
      </c>
      <c r="F51" t="inlineStr">
        <is>
          <t>VÄSTRA GÖTALANDS LÄN</t>
        </is>
      </c>
      <c r="G51" t="inlineStr">
        <is>
          <t>SKARA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44860</v>
      </c>
      <c r="E52" s="1" t="n">
        <v>46269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60840-2021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46269</v>
      </c>
      <c r="F53" t="inlineStr">
        <is>
          <t>VÄSTRA GÖTALANDS LÄN</t>
        </is>
      </c>
      <c r="G53" t="inlineStr">
        <is>
          <t>SKARA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46269</v>
      </c>
      <c r="F54" t="inlineStr">
        <is>
          <t>VÄSTRA GÖTALANDS LÄN</t>
        </is>
      </c>
      <c r="G54" t="inlineStr">
        <is>
          <t>SKARA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25219-2025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45800</v>
      </c>
      <c r="E55" s="1" t="n">
        <v>46269</v>
      </c>
      <c r="F55" t="inlineStr">
        <is>
          <t>VÄSTRA GÖTALANDS LÄN</t>
        </is>
      </c>
      <c r="G55" t="inlineStr">
        <is>
          <t>SKARA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60086-2024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46269</v>
      </c>
      <c r="F56" t="inlineStr">
        <is>
          <t>VÄSTRA GÖTALANDS LÄN</t>
        </is>
      </c>
      <c r="G56" t="inlineStr">
        <is>
          <t>SKARA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46269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46269</v>
      </c>
      <c r="F58" t="inlineStr">
        <is>
          <t>VÄSTRA GÖTALANDS LÄN</t>
        </is>
      </c>
      <c r="G58" t="inlineStr">
        <is>
          <t>SKARA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46269</v>
      </c>
      <c r="F59" t="inlineStr">
        <is>
          <t>VÄSTRA GÖTALANDS LÄN</t>
        </is>
      </c>
      <c r="G59" t="inlineStr">
        <is>
          <t>SKARA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32668-2024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45514</v>
      </c>
      <c r="E60" s="1" t="n">
        <v>46269</v>
      </c>
      <c r="F60" t="inlineStr">
        <is>
          <t>VÄSTRA GÖTALANDS LÄN</t>
        </is>
      </c>
      <c r="G60" t="inlineStr">
        <is>
          <t>SKARA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60654-2021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46269</v>
      </c>
      <c r="F61" t="inlineStr">
        <is>
          <t>VÄSTRA GÖTALANDS LÄN</t>
        </is>
      </c>
      <c r="G61" t="inlineStr">
        <is>
          <t>SKARA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45113</v>
      </c>
      <c r="E62" s="1" t="n">
        <v>46269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46269</v>
      </c>
      <c r="F63" t="inlineStr">
        <is>
          <t>VÄSTRA GÖTALANDS LÄN</t>
        </is>
      </c>
      <c r="G63" t="inlineStr">
        <is>
          <t>SKARA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45817</v>
      </c>
      <c r="E64" s="1" t="n">
        <v>46269</v>
      </c>
      <c r="F64" t="inlineStr">
        <is>
          <t>VÄSTRA GÖTALANDS LÄN</t>
        </is>
      </c>
      <c r="G64" t="inlineStr">
        <is>
          <t>SKARA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46269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46269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3144-2023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44946</v>
      </c>
      <c r="E67" s="1" t="n">
        <v>46269</v>
      </c>
      <c r="F67" t="inlineStr">
        <is>
          <t>VÄSTRA GÖTALANDS LÄN</t>
        </is>
      </c>
      <c r="G67" t="inlineStr">
        <is>
          <t>SKARA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46269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44990</v>
      </c>
      <c r="E69" s="1" t="n">
        <v>46269</v>
      </c>
      <c r="F69" t="inlineStr">
        <is>
          <t>VÄSTRA GÖTALANDS LÄN</t>
        </is>
      </c>
      <c r="G69" t="inlineStr">
        <is>
          <t>SKARA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45098</v>
      </c>
      <c r="E70" s="1" t="n">
        <v>46269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42874-2022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44832</v>
      </c>
      <c r="E71" s="1" t="n">
        <v>46269</v>
      </c>
      <c r="F71" t="inlineStr">
        <is>
          <t>VÄSTRA GÖTALANDS LÄN</t>
        </is>
      </c>
      <c r="G71" t="inlineStr">
        <is>
          <t>SKARA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45091</v>
      </c>
      <c r="E72" s="1" t="n">
        <v>46269</v>
      </c>
      <c r="F72" t="inlineStr">
        <is>
          <t>VÄSTRA GÖTALANDS LÄN</t>
        </is>
      </c>
      <c r="G72" t="inlineStr">
        <is>
          <t>SKARA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45667</v>
      </c>
      <c r="E73" s="1" t="n">
        <v>46269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26575-2024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45469</v>
      </c>
      <c r="E74" s="1" t="n">
        <v>46269</v>
      </c>
      <c r="F74" t="inlineStr">
        <is>
          <t>VÄSTRA GÖTALANDS LÄN</t>
        </is>
      </c>
      <c r="G74" t="inlineStr">
        <is>
          <t>SKARA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46269</v>
      </c>
      <c r="F75" t="inlineStr">
        <is>
          <t>VÄSTRA GÖTALANDS LÄN</t>
        </is>
      </c>
      <c r="G75" t="inlineStr">
        <is>
          <t>SKARA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46269</v>
      </c>
      <c r="F76" t="inlineStr">
        <is>
          <t>VÄSTRA GÖTALANDS LÄN</t>
        </is>
      </c>
      <c r="G76" t="inlineStr">
        <is>
          <t>SKARA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44953</v>
      </c>
      <c r="E77" s="1" t="n">
        <v>46269</v>
      </c>
      <c r="F77" t="inlineStr">
        <is>
          <t>VÄSTRA GÖTALANDS LÄN</t>
        </is>
      </c>
      <c r="G77" t="inlineStr">
        <is>
          <t>SKARA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45288</v>
      </c>
      <c r="E78" s="1" t="n">
        <v>46269</v>
      </c>
      <c r="F78" t="inlineStr">
        <is>
          <t>VÄSTRA GÖTALANDS LÄN</t>
        </is>
      </c>
      <c r="G78" t="inlineStr">
        <is>
          <t>SKARA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46269</v>
      </c>
      <c r="F79" t="inlineStr">
        <is>
          <t>VÄSTRA GÖTALANDS LÄN</t>
        </is>
      </c>
      <c r="G79" t="inlineStr">
        <is>
          <t>SKARA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18017-2024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45420</v>
      </c>
      <c r="E80" s="1" t="n">
        <v>46269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46269</v>
      </c>
      <c r="F81" t="inlineStr">
        <is>
          <t>VÄSTRA GÖTALANDS LÄN</t>
        </is>
      </c>
      <c r="G81" t="inlineStr">
        <is>
          <t>SKARA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45043</v>
      </c>
      <c r="E82" s="1" t="n">
        <v>46269</v>
      </c>
      <c r="F82" t="inlineStr">
        <is>
          <t>VÄSTRA GÖTALANDS LÄN</t>
        </is>
      </c>
      <c r="G82" t="inlineStr">
        <is>
          <t>SKARA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46269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45776</v>
      </c>
      <c r="E84" s="1" t="n">
        <v>46269</v>
      </c>
      <c r="F84" t="inlineStr">
        <is>
          <t>VÄSTRA GÖTALANDS LÄN</t>
        </is>
      </c>
      <c r="G84" t="inlineStr">
        <is>
          <t>SKARA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46269</v>
      </c>
      <c r="F85" t="inlineStr">
        <is>
          <t>VÄSTRA GÖTALANDS LÄN</t>
        </is>
      </c>
      <c r="G85" t="inlineStr">
        <is>
          <t>SKARA</t>
        </is>
      </c>
      <c r="H85" t="inlineStr">
        <is>
          <t>Kommuner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60233-2023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45258</v>
      </c>
      <c r="E86" s="1" t="n">
        <v>46269</v>
      </c>
      <c r="F86" t="inlineStr">
        <is>
          <t>VÄSTRA GÖTALANDS LÄN</t>
        </is>
      </c>
      <c r="G86" t="inlineStr">
        <is>
          <t>SKARA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46269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45180</v>
      </c>
      <c r="E88" s="1" t="n">
        <v>46269</v>
      </c>
      <c r="F88" t="inlineStr">
        <is>
          <t>VÄSTRA GÖTALANDS LÄN</t>
        </is>
      </c>
      <c r="G88" t="inlineStr">
        <is>
          <t>SKARA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45492</v>
      </c>
      <c r="E89" s="1" t="n">
        <v>46269</v>
      </c>
      <c r="F89" t="inlineStr">
        <is>
          <t>VÄSTRA GÖTALANDS LÄN</t>
        </is>
      </c>
      <c r="G89" t="inlineStr">
        <is>
          <t>SKARA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46269</v>
      </c>
      <c r="F90" t="inlineStr">
        <is>
          <t>VÄSTRA GÖTALANDS LÄN</t>
        </is>
      </c>
      <c r="G90" t="inlineStr">
        <is>
          <t>SKARA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59842-2022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46269</v>
      </c>
      <c r="F91" t="inlineStr">
        <is>
          <t>VÄSTRA GÖTALANDS LÄN</t>
        </is>
      </c>
      <c r="G91" t="inlineStr">
        <is>
          <t>SKARA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45408</v>
      </c>
      <c r="E92" s="1" t="n">
        <v>46269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45110</v>
      </c>
      <c r="E93" s="1" t="n">
        <v>46269</v>
      </c>
      <c r="F93" t="inlineStr">
        <is>
          <t>VÄSTRA GÖTALANDS LÄN</t>
        </is>
      </c>
      <c r="G93" t="inlineStr">
        <is>
          <t>SKARA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36041-2023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45149</v>
      </c>
      <c r="E94" s="1" t="n">
        <v>46269</v>
      </c>
      <c r="F94" t="inlineStr">
        <is>
          <t>VÄSTRA GÖTALANDS LÄN</t>
        </is>
      </c>
      <c r="G94" t="inlineStr">
        <is>
          <t>SKARA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36045-2023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45149</v>
      </c>
      <c r="E95" s="1" t="n">
        <v>46269</v>
      </c>
      <c r="F95" t="inlineStr">
        <is>
          <t>VÄSTRA GÖTALANDS LÄN</t>
        </is>
      </c>
      <c r="G95" t="inlineStr">
        <is>
          <t>SKARA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30019-2023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45109</v>
      </c>
      <c r="E96" s="1" t="n">
        <v>46269</v>
      </c>
      <c r="F96" t="inlineStr">
        <is>
          <t>VÄSTRA GÖTALANDS LÄN</t>
        </is>
      </c>
      <c r="G96" t="inlineStr">
        <is>
          <t>SKARA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46269</v>
      </c>
      <c r="F97" t="inlineStr">
        <is>
          <t>VÄSTRA GÖTALANDS LÄN</t>
        </is>
      </c>
      <c r="G97" t="inlineStr">
        <is>
          <t>SKARA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46269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44701</v>
      </c>
      <c r="E99" s="1" t="n">
        <v>46269</v>
      </c>
      <c r="F99" t="inlineStr">
        <is>
          <t>VÄSTRA GÖTALANDS LÄN</t>
        </is>
      </c>
      <c r="G99" t="inlineStr">
        <is>
          <t>SKARA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44698</v>
      </c>
      <c r="E100" s="1" t="n">
        <v>46269</v>
      </c>
      <c r="F100" t="inlineStr">
        <is>
          <t>VÄSTRA GÖTALANDS LÄN</t>
        </is>
      </c>
      <c r="G100" t="inlineStr">
        <is>
          <t>SKARA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46269</v>
      </c>
      <c r="F101" t="inlineStr">
        <is>
          <t>VÄSTRA GÖTALANDS LÄN</t>
        </is>
      </c>
      <c r="G101" t="inlineStr">
        <is>
          <t>SKARA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46269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45370</v>
      </c>
      <c r="E103" s="1" t="n">
        <v>46269</v>
      </c>
      <c r="F103" t="inlineStr">
        <is>
          <t>VÄSTRA GÖTALANDS LÄN</t>
        </is>
      </c>
      <c r="G103" t="inlineStr">
        <is>
          <t>SKARA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46269</v>
      </c>
      <c r="F104" t="inlineStr">
        <is>
          <t>VÄSTRA GÖTALANDS LÄN</t>
        </is>
      </c>
      <c r="G104" t="inlineStr">
        <is>
          <t>SKARA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45874</v>
      </c>
      <c r="E105" s="1" t="n">
        <v>46269</v>
      </c>
      <c r="F105" t="inlineStr">
        <is>
          <t>VÄSTRA GÖTALANDS LÄN</t>
        </is>
      </c>
      <c r="G105" t="inlineStr">
        <is>
          <t>SKARA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46269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46269</v>
      </c>
      <c r="F107" t="inlineStr">
        <is>
          <t>VÄSTRA GÖTALANDS LÄN</t>
        </is>
      </c>
      <c r="G107" t="inlineStr">
        <is>
          <t>SKARA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46269</v>
      </c>
      <c r="F108" t="inlineStr">
        <is>
          <t>VÄSTRA GÖTALANDS LÄN</t>
        </is>
      </c>
      <c r="G108" t="inlineStr">
        <is>
          <t>SKARA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46269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39367-2025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46269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46269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45309</v>
      </c>
      <c r="E112" s="1" t="n">
        <v>46269</v>
      </c>
      <c r="F112" t="inlineStr">
        <is>
          <t>VÄSTRA GÖTALANDS LÄN</t>
        </is>
      </c>
      <c r="G112" t="inlineStr">
        <is>
          <t>SKARA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45492</v>
      </c>
      <c r="E113" s="1" t="n">
        <v>46269</v>
      </c>
      <c r="F113" t="inlineStr">
        <is>
          <t>VÄSTRA GÖTALANDS LÄN</t>
        </is>
      </c>
      <c r="G113" t="inlineStr">
        <is>
          <t>SKARA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46269</v>
      </c>
      <c r="F114" t="inlineStr">
        <is>
          <t>VÄSTRA GÖTALANDS LÄN</t>
        </is>
      </c>
      <c r="G114" t="inlineStr">
        <is>
          <t>SKARA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46269</v>
      </c>
      <c r="F115" t="inlineStr">
        <is>
          <t>VÄSTRA GÖTALANDS LÄN</t>
        </is>
      </c>
      <c r="G115" t="inlineStr">
        <is>
          <t>SKARA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45175</v>
      </c>
      <c r="E116" s="1" t="n">
        <v>46269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Kommuner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46269</v>
      </c>
      <c r="F117" t="inlineStr">
        <is>
          <t>VÄSTRA GÖTALANDS LÄN</t>
        </is>
      </c>
      <c r="G117" t="inlineStr">
        <is>
          <t>SKARA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15927-2023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46269</v>
      </c>
      <c r="F118" t="inlineStr">
        <is>
          <t>VÄSTRA GÖTALANDS LÄN</t>
        </is>
      </c>
      <c r="G118" t="inlineStr">
        <is>
          <t>SKARA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46269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46269</v>
      </c>
      <c r="F120" t="inlineStr">
        <is>
          <t>VÄSTRA GÖTALANDS LÄN</t>
        </is>
      </c>
      <c r="G120" t="inlineStr">
        <is>
          <t>SKARA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46269</v>
      </c>
      <c r="F121" t="inlineStr">
        <is>
          <t>VÄSTRA GÖTALANDS LÄN</t>
        </is>
      </c>
      <c r="G121" t="inlineStr">
        <is>
          <t>SKARA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46269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46269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46269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46269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45924</v>
      </c>
      <c r="E126" s="1" t="n">
        <v>46269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46269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Kyrkan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46269</v>
      </c>
      <c r="F128" t="inlineStr">
        <is>
          <t>VÄSTRA GÖTALANDS LÄN</t>
        </is>
      </c>
      <c r="G128" t="inlineStr">
        <is>
          <t>SKARA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46269</v>
      </c>
      <c r="F129" t="inlineStr">
        <is>
          <t>VÄSTRA GÖTALANDS LÄN</t>
        </is>
      </c>
      <c r="G129" t="inlineStr">
        <is>
          <t>SKARA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18701-2022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44687</v>
      </c>
      <c r="E130" s="1" t="n">
        <v>46269</v>
      </c>
      <c r="F130" t="inlineStr">
        <is>
          <t>VÄSTRA GÖTALANDS LÄN</t>
        </is>
      </c>
      <c r="G130" t="inlineStr">
        <is>
          <t>SKARA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46269</v>
      </c>
      <c r="F131" t="inlineStr">
        <is>
          <t>VÄSTRA GÖTALANDS LÄN</t>
        </is>
      </c>
      <c r="G131" t="inlineStr">
        <is>
          <t>SKARA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46269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44844</v>
      </c>
      <c r="E133" s="1" t="n">
        <v>46269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46269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46269</v>
      </c>
      <c r="F135" t="inlineStr">
        <is>
          <t>VÄSTRA GÖTALANDS LÄN</t>
        </is>
      </c>
      <c r="G135" t="inlineStr">
        <is>
          <t>SKARA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44827</v>
      </c>
      <c r="E136" s="1" t="n">
        <v>46269</v>
      </c>
      <c r="F136" t="inlineStr">
        <is>
          <t>VÄSTRA GÖTALANDS LÄN</t>
        </is>
      </c>
      <c r="G136" t="inlineStr">
        <is>
          <t>SKARA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46269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45314</v>
      </c>
      <c r="E138" s="1" t="n">
        <v>46269</v>
      </c>
      <c r="F138" t="inlineStr">
        <is>
          <t>VÄSTRA GÖTALANDS LÄN</t>
        </is>
      </c>
      <c r="G138" t="inlineStr">
        <is>
          <t>SKARA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46269</v>
      </c>
      <c r="F139" t="inlineStr">
        <is>
          <t>VÄSTRA GÖTALANDS LÄN</t>
        </is>
      </c>
      <c r="G139" t="inlineStr">
        <is>
          <t>SKARA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46269</v>
      </c>
      <c r="F140" t="inlineStr">
        <is>
          <t>VÄSTRA GÖTALANDS LÄN</t>
        </is>
      </c>
      <c r="G140" t="inlineStr">
        <is>
          <t>SKARA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45960</v>
      </c>
      <c r="E141" s="1" t="n">
        <v>46269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Kyrkan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44909</v>
      </c>
      <c r="E142" s="1" t="n">
        <v>46269</v>
      </c>
      <c r="F142" t="inlineStr">
        <is>
          <t>VÄSTRA GÖTALANDS LÄN</t>
        </is>
      </c>
      <c r="G142" t="inlineStr">
        <is>
          <t>SKARA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46269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46269</v>
      </c>
      <c r="F144" t="inlineStr">
        <is>
          <t>VÄSTRA GÖTALANDS LÄN</t>
        </is>
      </c>
      <c r="G144" t="inlineStr">
        <is>
          <t>SKARA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44995</v>
      </c>
      <c r="E145" s="1" t="n">
        <v>46269</v>
      </c>
      <c r="F145" t="inlineStr">
        <is>
          <t>VÄSTRA GÖTALANDS LÄN</t>
        </is>
      </c>
      <c r="G145" t="inlineStr">
        <is>
          <t>SKARA</t>
        </is>
      </c>
      <c r="I145" t="n">
        <v>13.5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46269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46269</v>
      </c>
      <c r="F147" t="inlineStr">
        <is>
          <t>VÄSTRA GÖTALANDS LÄN</t>
        </is>
      </c>
      <c r="G147" t="inlineStr">
        <is>
          <t>SKARA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46269</v>
      </c>
      <c r="F148" t="inlineStr">
        <is>
          <t>VÄSTRA GÖTALANDS LÄN</t>
        </is>
      </c>
      <c r="G148" t="inlineStr">
        <is>
          <t>SKARA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46269</v>
      </c>
      <c r="F149" t="inlineStr">
        <is>
          <t>VÄSTRA GÖTALANDS LÄN</t>
        </is>
      </c>
      <c r="G149" t="inlineStr">
        <is>
          <t>SKARA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46269</v>
      </c>
      <c r="F150" t="inlineStr">
        <is>
          <t>VÄSTRA GÖTALANDS LÄN</t>
        </is>
      </c>
      <c r="G150" t="inlineStr">
        <is>
          <t>SKARA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46269</v>
      </c>
      <c r="F151" t="inlineStr">
        <is>
          <t>VÄSTRA GÖTALANDS LÄN</t>
        </is>
      </c>
      <c r="G151" t="inlineStr">
        <is>
          <t>SKARA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46269</v>
      </c>
      <c r="F152" t="inlineStr">
        <is>
          <t>VÄSTRA GÖTALANDS LÄN</t>
        </is>
      </c>
      <c r="G152" t="inlineStr">
        <is>
          <t>SKARA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46269</v>
      </c>
      <c r="F153" t="inlineStr">
        <is>
          <t>VÄSTRA GÖTALANDS LÄN</t>
        </is>
      </c>
      <c r="G153" t="inlineStr">
        <is>
          <t>SKARA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46269</v>
      </c>
      <c r="F154" t="inlineStr">
        <is>
          <t>VÄSTRA GÖTALANDS LÄN</t>
        </is>
      </c>
      <c r="G154" t="inlineStr">
        <is>
          <t>SKARA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46269</v>
      </c>
      <c r="F155" t="inlineStr">
        <is>
          <t>VÄSTRA GÖTALANDS LÄN</t>
        </is>
      </c>
      <c r="G155" t="inlineStr">
        <is>
          <t>SKARA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46269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46269</v>
      </c>
      <c r="F157" t="inlineStr">
        <is>
          <t>VÄSTRA GÖTALANDS LÄN</t>
        </is>
      </c>
      <c r="G157" t="inlineStr">
        <is>
          <t>SKARA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46008</v>
      </c>
      <c r="E158" s="1" t="n">
        <v>46269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Kyrkan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27478-2026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46189</v>
      </c>
      <c r="E159" s="1" t="n">
        <v>46269</v>
      </c>
      <c r="F159" t="inlineStr">
        <is>
          <t>VÄSTRA GÖTALANDS LÄN</t>
        </is>
      </c>
      <c r="G159" t="inlineStr">
        <is>
          <t>SKARA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44995</v>
      </c>
      <c r="E160" s="1" t="n">
        <v>46269</v>
      </c>
      <c r="F160" t="inlineStr">
        <is>
          <t>VÄSTRA GÖTALANDS LÄN</t>
        </is>
      </c>
      <c r="G160" t="inlineStr">
        <is>
          <t>SKARA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45224</v>
      </c>
      <c r="E161" s="1" t="n">
        <v>46269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46269</v>
      </c>
      <c r="F162" t="inlineStr">
        <is>
          <t>VÄSTRA GÖTALANDS LÄN</t>
        </is>
      </c>
      <c r="G162" t="inlineStr">
        <is>
          <t>SKARA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46269</v>
      </c>
      <c r="F163" t="inlineStr">
        <is>
          <t>VÄSTRA GÖTALANDS LÄN</t>
        </is>
      </c>
      <c r="G163" t="inlineStr">
        <is>
          <t>SKARA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46269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46269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46269</v>
      </c>
      <c r="F166" t="inlineStr">
        <is>
          <t>VÄSTRA GÖTALANDS LÄN</t>
        </is>
      </c>
      <c r="G166" t="inlineStr">
        <is>
          <t>SKARA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46269</v>
      </c>
      <c r="F167" t="inlineStr">
        <is>
          <t>VÄSTRA GÖTALANDS LÄN</t>
        </is>
      </c>
      <c r="G167" t="inlineStr">
        <is>
          <t>SKARA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46269</v>
      </c>
      <c r="F168" t="inlineStr">
        <is>
          <t>VÄSTRA GÖTALANDS LÄN</t>
        </is>
      </c>
      <c r="G168" t="inlineStr">
        <is>
          <t>SKARA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46247</v>
      </c>
      <c r="E169" s="1" t="n">
        <v>46269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46269</v>
      </c>
      <c r="F170" t="inlineStr">
        <is>
          <t>VÄSTRA GÖTALANDS LÄN</t>
        </is>
      </c>
      <c r="G170" t="inlineStr">
        <is>
          <t>SKARA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46269</v>
      </c>
      <c r="F171" t="inlineStr">
        <is>
          <t>VÄSTRA GÖTALANDS LÄN</t>
        </is>
      </c>
      <c r="G171" t="inlineStr">
        <is>
          <t>SKARA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46269</v>
      </c>
      <c r="F172" t="inlineStr">
        <is>
          <t>VÄSTRA GÖTALANDS LÄN</t>
        </is>
      </c>
      <c r="G172" t="inlineStr">
        <is>
          <t>SKARA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46072</v>
      </c>
      <c r="E173" s="1" t="n">
        <v>46269</v>
      </c>
      <c r="F173" t="inlineStr">
        <is>
          <t>VÄSTRA GÖTALANDS LÄN</t>
        </is>
      </c>
      <c r="G173" t="inlineStr">
        <is>
          <t>SKARA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46269</v>
      </c>
      <c r="F174" t="inlineStr">
        <is>
          <t>VÄSTRA GÖTALANDS LÄN</t>
        </is>
      </c>
      <c r="G174" t="inlineStr">
        <is>
          <t>SKARA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12332-2026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46087</v>
      </c>
      <c r="E175" s="1" t="n">
        <v>46269</v>
      </c>
      <c r="F175" t="inlineStr">
        <is>
          <t>VÄSTRA GÖTALANDS LÄN</t>
        </is>
      </c>
      <c r="G175" t="inlineStr">
        <is>
          <t>SKARA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46269</v>
      </c>
      <c r="F176" t="inlineStr">
        <is>
          <t>VÄSTRA GÖTALANDS LÄN</t>
        </is>
      </c>
      <c r="G176" t="inlineStr">
        <is>
          <t>SKARA</t>
        </is>
      </c>
      <c r="I176" t="n">
        <v>21.6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46269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46269</v>
      </c>
      <c r="F178" t="inlineStr">
        <is>
          <t>VÄSTRA GÖTALANDS LÄN</t>
        </is>
      </c>
      <c r="G178" t="inlineStr">
        <is>
          <t>SKARA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46269</v>
      </c>
      <c r="F179" t="inlineStr">
        <is>
          <t>VÄSTRA GÖTALANDS LÄN</t>
        </is>
      </c>
      <c r="G179" t="inlineStr">
        <is>
          <t>SKARA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46093</v>
      </c>
      <c r="E180" s="1" t="n">
        <v>46269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45156</v>
      </c>
      <c r="E181" s="1" t="n">
        <v>46269</v>
      </c>
      <c r="F181" t="inlineStr">
        <is>
          <t>VÄSTRA GÖTALANDS LÄN</t>
        </is>
      </c>
      <c r="G181" t="inlineStr">
        <is>
          <t>SKARA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46269</v>
      </c>
      <c r="F182" t="inlineStr">
        <is>
          <t>VÄSTRA GÖTALANDS LÄN</t>
        </is>
      </c>
      <c r="G182" t="inlineStr">
        <is>
          <t>SKARA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46269</v>
      </c>
      <c r="F183" t="inlineStr">
        <is>
          <t>VÄSTRA GÖTALANDS LÄN</t>
        </is>
      </c>
      <c r="G183" t="inlineStr">
        <is>
          <t>SKARA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46269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46269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46269</v>
      </c>
      <c r="F186" t="inlineStr">
        <is>
          <t>VÄSTRA GÖTALANDS LÄN</t>
        </is>
      </c>
      <c r="G186" t="inlineStr">
        <is>
          <t>SKARA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46203</v>
      </c>
      <c r="E187" s="1" t="n">
        <v>46269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46168</v>
      </c>
      <c r="E188" s="1" t="n">
        <v>46269</v>
      </c>
      <c r="F188" t="inlineStr">
        <is>
          <t>VÄSTRA GÖTALANDS LÄN</t>
        </is>
      </c>
      <c r="G188" t="inlineStr">
        <is>
          <t>SKARA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46269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46269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Sveaskog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46269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46108</v>
      </c>
      <c r="E192" s="1" t="n">
        <v>46269</v>
      </c>
      <c r="F192" t="inlineStr">
        <is>
          <t>VÄSTRA GÖTALANDS LÄN</t>
        </is>
      </c>
      <c r="G192" t="inlineStr">
        <is>
          <t>SKARA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46269</v>
      </c>
      <c r="F193" t="inlineStr">
        <is>
          <t>VÄSTRA GÖTALANDS LÄN</t>
        </is>
      </c>
      <c r="G193" t="inlineStr">
        <is>
          <t>SKARA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46269</v>
      </c>
      <c r="F194" t="inlineStr">
        <is>
          <t>VÄSTRA GÖTALANDS LÄN</t>
        </is>
      </c>
      <c r="G194" t="inlineStr">
        <is>
          <t>SKARA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46269</v>
      </c>
      <c r="F195" t="inlineStr">
        <is>
          <t>VÄSTRA GÖTALANDS LÄN</t>
        </is>
      </c>
      <c r="G195" t="inlineStr">
        <is>
          <t>SKARA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46269</v>
      </c>
      <c r="F196" t="inlineStr">
        <is>
          <t>VÄSTRA GÖTALANDS LÄN</t>
        </is>
      </c>
      <c r="G196" t="inlineStr">
        <is>
          <t>SKARA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46113</v>
      </c>
      <c r="E197" s="1" t="n">
        <v>46269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46269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46269</v>
      </c>
      <c r="F199" t="inlineStr">
        <is>
          <t>VÄSTRA GÖTALANDS LÄN</t>
        </is>
      </c>
      <c r="G199" t="inlineStr">
        <is>
          <t>SKARA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46269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46269</v>
      </c>
      <c r="F201" t="inlineStr">
        <is>
          <t>VÄSTRA GÖTALANDS LÄN</t>
        </is>
      </c>
      <c r="G201" t="inlineStr">
        <is>
          <t>SKARA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46129</v>
      </c>
      <c r="E202" s="1" t="n">
        <v>46269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46269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44743</v>
      </c>
      <c r="E204" s="1" t="n">
        <v>46269</v>
      </c>
      <c r="F204" t="inlineStr">
        <is>
          <t>VÄSTRA GÖTALANDS LÄN</t>
        </is>
      </c>
      <c r="G204" t="inlineStr">
        <is>
          <t>SKARA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45628</v>
      </c>
      <c r="E205" s="1" t="n">
        <v>46269</v>
      </c>
      <c r="F205" t="inlineStr">
        <is>
          <t>VÄSTRA GÖTALANDS LÄN</t>
        </is>
      </c>
      <c r="G205" t="inlineStr">
        <is>
          <t>SKARA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46269</v>
      </c>
      <c r="F206" t="inlineStr">
        <is>
          <t>VÄSTRA GÖTALANDS LÄN</t>
        </is>
      </c>
      <c r="G206" t="inlineStr">
        <is>
          <t>SKARA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46269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46269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45313</v>
      </c>
      <c r="E209" s="1" t="n">
        <v>46269</v>
      </c>
      <c r="F209" t="inlineStr">
        <is>
          <t>VÄSTRA GÖTALANDS LÄN</t>
        </is>
      </c>
      <c r="G209" t="inlineStr">
        <is>
          <t>SKARA</t>
        </is>
      </c>
      <c r="I209" t="n">
        <v>11.7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46269</v>
      </c>
      <c r="F210" t="inlineStr">
        <is>
          <t>VÄSTRA GÖTALANDS LÄN</t>
        </is>
      </c>
      <c r="G210" t="inlineStr">
        <is>
          <t>SKARA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46269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46269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2026-09-04T02:05:45Z</dcterms:created>
  <dcterms:modified xmlns:dcterms="http://purl.org/dc/terms/" xmlns:xsi="http://www.w3.org/2001/XMLSchema-instance" xsi:type="dcterms:W3CDTF">2026-09-04T02:05:45Z</dcterms:modified>
</cp:coreProperties>
</file>