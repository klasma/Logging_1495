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46221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s="2" t="inlineStr">
        <is>
          <t>Ask
Skogsalm
Sårläka
Nästrot
Underviol
Vätteros
Fläcknycklar</t>
        </is>
      </c>
      <c r="V2">
        <f>HYPERLINK("https://klasma.github.io/Logging_1495/artfynd/A 1202-2024 artfynd.xlsx", "A 1202-2024")</f>
        <v/>
      </c>
      <c r="W2">
        <f>HYPERLINK("https://klasma.github.io/Logging_1495/kartor/A 1202-2024 karta.png", "A 1202-2024")</f>
        <v/>
      </c>
      <c r="Y2">
        <f>HYPERLINK("https://klasma.github.io/Logging_1495/klagomål/A 1202-2024 FSC-klagomål.docx", "A 1202-2024")</f>
        <v/>
      </c>
      <c r="Z2">
        <f>HYPERLINK("https://klasma.github.io/Logging_1495/klagomålsmail/A 1202-2024 FSC-klagomål mail.docx", "A 1202-2024")</f>
        <v/>
      </c>
      <c r="AA2">
        <f>HYPERLINK("https://klasma.github.io/Logging_1495/tillsyn/A 1202-2024 tillsynsbegäran.docx", "A 1202-2024")</f>
        <v/>
      </c>
      <c r="AB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46221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Rosenfink
Ädelguldbagge
Hässleklocka
Lundbräsma
Blåsippa</t>
        </is>
      </c>
      <c r="V3">
        <f>HYPERLINK("https://klasma.github.io/Logging_1495/artfynd/A 16179-2025 artfynd.xlsx", "A 16179-2025")</f>
        <v/>
      </c>
      <c r="W3">
        <f>HYPERLINK("https://klasma.github.io/Logging_1495/kartor/A 16179-2025 karta.png", "A 16179-2025")</f>
        <v/>
      </c>
      <c r="Y3">
        <f>HYPERLINK("https://klasma.github.io/Logging_1495/klagomål/A 16179-2025 FSC-klagomål.docx", "A 16179-2025")</f>
        <v/>
      </c>
      <c r="Z3">
        <f>HYPERLINK("https://klasma.github.io/Logging_1495/klagomålsmail/A 16179-2025 FSC-klagomål mail.docx", "A 16179-2025")</f>
        <v/>
      </c>
      <c r="AA3">
        <f>HYPERLINK("https://klasma.github.io/Logging_1495/tillsyn/A 16179-2025 tillsynsbegäran.docx", "A 16179-2025")</f>
        <v/>
      </c>
      <c r="AB3">
        <f>HYPERLINK("https://klasma.github.io/Logging_1495/tillsynsmail/A 16179-2025 tillsynsbegäran mail.docx", "A 16179-2025")</f>
        <v/>
      </c>
      <c r="AC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46221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s="2" t="inlineStr">
        <is>
          <t>Ask
Skogsalm
Lundbräsma
Blåsippa</t>
        </is>
      </c>
      <c r="V4">
        <f>HYPERLINK("https://klasma.github.io/Logging_1495/artfynd/A 33610-2025 artfynd.xlsx", "A 33610-2025")</f>
        <v/>
      </c>
      <c r="W4">
        <f>HYPERLINK("https://klasma.github.io/Logging_1495/kartor/A 33610-2025 karta.png", "A 33610-2025")</f>
        <v/>
      </c>
      <c r="Y4">
        <f>HYPERLINK("https://klasma.github.io/Logging_1495/klagomål/A 33610-2025 FSC-klagomål.docx", "A 33610-2025")</f>
        <v/>
      </c>
      <c r="Z4">
        <f>HYPERLINK("https://klasma.github.io/Logging_1495/klagomålsmail/A 33610-2025 FSC-klagomål mail.docx", "A 33610-2025")</f>
        <v/>
      </c>
      <c r="AA4">
        <f>HYPERLINK("https://klasma.github.io/Logging_1495/tillsyn/A 33610-2025 tillsynsbegäran.docx", "A 33610-2025")</f>
        <v/>
      </c>
      <c r="AB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46221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s="2" t="inlineStr">
        <is>
          <t>Brandticka
Grovticka
Revlummer</t>
        </is>
      </c>
      <c r="V5">
        <f>HYPERLINK("https://klasma.github.io/Logging_1495/artfynd/A 8807-2022 artfynd.xlsx", "A 8807-2022")</f>
        <v/>
      </c>
      <c r="W5">
        <f>HYPERLINK("https://klasma.github.io/Logging_1495/kartor/A 8807-2022 karta.png", "A 8807-2022")</f>
        <v/>
      </c>
      <c r="Y5">
        <f>HYPERLINK("https://klasma.github.io/Logging_1495/klagomål/A 8807-2022 FSC-klagomål.docx", "A 8807-2022")</f>
        <v/>
      </c>
      <c r="Z5">
        <f>HYPERLINK("https://klasma.github.io/Logging_1495/klagomålsmail/A 8807-2022 FSC-klagomål mail.docx", "A 8807-2022")</f>
        <v/>
      </c>
      <c r="AA5">
        <f>HYPERLINK("https://klasma.github.io/Logging_1495/tillsyn/A 8807-2022 tillsynsbegäran.docx", "A 8807-2022")</f>
        <v/>
      </c>
      <c r="AB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46221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s="2" t="inlineStr">
        <is>
          <t>Scharlakansvaxing
Toppvaxing</t>
        </is>
      </c>
      <c r="V6">
        <f>HYPERLINK("https://klasma.github.io/Logging_1495/artfynd/A 22585-2022 artfynd.xlsx", "A 22585-2022")</f>
        <v/>
      </c>
      <c r="W6">
        <f>HYPERLINK("https://klasma.github.io/Logging_1495/kartor/A 22585-2022 karta.png", "A 22585-2022")</f>
        <v/>
      </c>
      <c r="Y6">
        <f>HYPERLINK("https://klasma.github.io/Logging_1495/klagomål/A 22585-2022 FSC-klagomål.docx", "A 22585-2022")</f>
        <v/>
      </c>
      <c r="Z6">
        <f>HYPERLINK("https://klasma.github.io/Logging_1495/klagomålsmail/A 22585-2022 FSC-klagomål mail.docx", "A 22585-2022")</f>
        <v/>
      </c>
      <c r="AA6">
        <f>HYPERLINK("https://klasma.github.io/Logging_1495/tillsyn/A 22585-2022 tillsynsbegäran.docx", "A 22585-2022")</f>
        <v/>
      </c>
      <c r="AB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46221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s="2" t="inlineStr">
        <is>
          <t>Slåttergubbe
Revlummer</t>
        </is>
      </c>
      <c r="V7">
        <f>HYPERLINK("https://klasma.github.io/Logging_1495/artfynd/A 18736-2023 artfynd.xlsx", "A 18736-2023")</f>
        <v/>
      </c>
      <c r="W7">
        <f>HYPERLINK("https://klasma.github.io/Logging_1495/kartor/A 18736-2023 karta.png", "A 18736-2023")</f>
        <v/>
      </c>
      <c r="Y7">
        <f>HYPERLINK("https://klasma.github.io/Logging_1495/klagomål/A 18736-2023 FSC-klagomål.docx", "A 18736-2023")</f>
        <v/>
      </c>
      <c r="Z7">
        <f>HYPERLINK("https://klasma.github.io/Logging_1495/klagomålsmail/A 18736-2023 FSC-klagomål mail.docx", "A 18736-2023")</f>
        <v/>
      </c>
      <c r="AA7">
        <f>HYPERLINK("https://klasma.github.io/Logging_1495/tillsyn/A 18736-2023 tillsynsbegäran.docx", "A 18736-2023")</f>
        <v/>
      </c>
      <c r="AB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46221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s="2" t="inlineStr">
        <is>
          <t>Hartmansstarr
Klasefibbla</t>
        </is>
      </c>
      <c r="V8">
        <f>HYPERLINK("https://klasma.github.io/Logging_1495/artfynd/A 4312-2023 artfynd.xlsx", "A 4312-2023")</f>
        <v/>
      </c>
      <c r="W8">
        <f>HYPERLINK("https://klasma.github.io/Logging_1495/kartor/A 4312-2023 karta.png", "A 4312-2023")</f>
        <v/>
      </c>
      <c r="Y8">
        <f>HYPERLINK("https://klasma.github.io/Logging_1495/klagomål/A 4312-2023 FSC-klagomål.docx", "A 4312-2023")</f>
        <v/>
      </c>
      <c r="Z8">
        <f>HYPERLINK("https://klasma.github.io/Logging_1495/klagomålsmail/A 4312-2023 FSC-klagomål mail.docx", "A 4312-2023")</f>
        <v/>
      </c>
      <c r="AA8">
        <f>HYPERLINK("https://klasma.github.io/Logging_1495/tillsyn/A 4312-2023 tillsynsbegäran.docx", "A 4312-2023")</f>
        <v/>
      </c>
      <c r="AB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46221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s="2" t="inlineStr">
        <is>
          <t>Ask
Hässleklocka</t>
        </is>
      </c>
      <c r="V9">
        <f>HYPERLINK("https://klasma.github.io/Logging_1495/artfynd/S 2565-2025 artfynd.xlsx", "S 2565-2025")</f>
        <v/>
      </c>
      <c r="W9">
        <f>HYPERLINK("https://klasma.github.io/Logging_1495/kartor/S 2565-2025 karta.png", "S 2565-2025")</f>
        <v/>
      </c>
      <c r="Y9">
        <f>HYPERLINK("https://klasma.github.io/Logging_1495/klagomål/S 2565-2025 FSC-klagomål.docx", "S 2565-2025")</f>
        <v/>
      </c>
      <c r="Z9">
        <f>HYPERLINK("https://klasma.github.io/Logging_1495/klagomålsmail/S 2565-2025 FSC-klagomål mail.docx", "S 2565-2025")</f>
        <v/>
      </c>
      <c r="AA9">
        <f>HYPERLINK("https://klasma.github.io/Logging_1495/tillsyn/S 2565-2025 tillsynsbegäran.docx", "S 2565-2025")</f>
        <v/>
      </c>
      <c r="AB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46221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Sädesärla
Vanlig snok</t>
        </is>
      </c>
      <c r="V10">
        <f>HYPERLINK("https://klasma.github.io/Logging_1495/artfynd/S 258-2026 artfynd.xlsx", "S 258-2026")</f>
        <v/>
      </c>
      <c r="W10">
        <f>HYPERLINK("https://klasma.github.io/Logging_1495/kartor/S 258-2026 karta.png", "S 258-2026")</f>
        <v/>
      </c>
      <c r="Y10">
        <f>HYPERLINK("https://klasma.github.io/Logging_1495/klagomål/S 258-2026 FSC-klagomål.docx", "S 258-2026")</f>
        <v/>
      </c>
      <c r="Z10">
        <f>HYPERLINK("https://klasma.github.io/Logging_1495/klagomålsmail/S 258-2026 FSC-klagomål mail.docx", "S 258-2026")</f>
        <v/>
      </c>
      <c r="AA10">
        <f>HYPERLINK("https://klasma.github.io/Logging_1495/tillsyn/S 258-2026 tillsynsbegäran.docx", "S 258-2026")</f>
        <v/>
      </c>
      <c r="AB10">
        <f>HYPERLINK("https://klasma.github.io/Logging_1495/tillsynsmail/S 258-2026 tillsynsbegäran mail.docx", "S 258-2026")</f>
        <v/>
      </c>
      <c r="AC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46221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HYPERLINK("https://klasma.github.io/Logging_1495/artfynd/A 50318-2021 artfynd.xlsx", "A 50318-2021")</f>
        <v/>
      </c>
      <c r="W11">
        <f>HYPERLINK("https://klasma.github.io/Logging_1495/kartor/A 50318-2021 karta.png", "A 50318-2021")</f>
        <v/>
      </c>
      <c r="X11">
        <f>HYPERLINK("https://klasma.github.io/Logging_1495/knärot/A 50318-2021 karta knärot.png", "A 50318-2021")</f>
        <v/>
      </c>
      <c r="Y11">
        <f>HYPERLINK("https://klasma.github.io/Logging_1495/klagomål/A 50318-2021 FSC-klagomål.docx", "A 50318-2021")</f>
        <v/>
      </c>
      <c r="Z11">
        <f>HYPERLINK("https://klasma.github.io/Logging_1495/klagomålsmail/A 50318-2021 FSC-klagomål mail.docx", "A 50318-2021")</f>
        <v/>
      </c>
      <c r="AA11">
        <f>HYPERLINK("https://klasma.github.io/Logging_1495/tillsyn/A 50318-2021 tillsynsbegäran.docx", "A 50318-2021")</f>
        <v/>
      </c>
      <c r="AB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46221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Grönvit nattviol</t>
        </is>
      </c>
      <c r="V12">
        <f>HYPERLINK("https://klasma.github.io/Logging_1495/artfynd/A 9277-2023 artfynd.xlsx", "A 9277-2023")</f>
        <v/>
      </c>
      <c r="W12">
        <f>HYPERLINK("https://klasma.github.io/Logging_1495/kartor/A 9277-2023 karta.png", "A 9277-2023")</f>
        <v/>
      </c>
      <c r="Y12">
        <f>HYPERLINK("https://klasma.github.io/Logging_1495/klagomål/A 9277-2023 FSC-klagomål.docx", "A 9277-2023")</f>
        <v/>
      </c>
      <c r="Z12">
        <f>HYPERLINK("https://klasma.github.io/Logging_1495/klagomålsmail/A 9277-2023 FSC-klagomål mail.docx", "A 9277-2023")</f>
        <v/>
      </c>
      <c r="AA12">
        <f>HYPERLINK("https://klasma.github.io/Logging_1495/tillsyn/A 9277-2023 tillsynsbegäran.docx", "A 9277-2023")</f>
        <v/>
      </c>
      <c r="AB12">
        <f>HYPERLINK("https://klasma.github.io/Logging_1495/tillsynsmail/A 9277-2023 tillsynsbegäran mail.docx", "A 9277-2023")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46221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Skinntagging</t>
        </is>
      </c>
      <c r="V13">
        <f>HYPERLINK("https://klasma.github.io/Logging_1495/artfynd/A 20063-2025 artfynd.xlsx", "A 20063-2025")</f>
        <v/>
      </c>
      <c r="W13">
        <f>HYPERLINK("https://klasma.github.io/Logging_1495/kartor/A 20063-2025 karta.png", "A 20063-2025")</f>
        <v/>
      </c>
      <c r="Y13">
        <f>HYPERLINK("https://klasma.github.io/Logging_1495/klagomål/A 20063-2025 FSC-klagomål.docx", "A 20063-2025")</f>
        <v/>
      </c>
      <c r="Z13">
        <f>HYPERLINK("https://klasma.github.io/Logging_1495/klagomålsmail/A 20063-2025 FSC-klagomål mail.docx", "A 20063-2025")</f>
        <v/>
      </c>
      <c r="AA13">
        <f>HYPERLINK("https://klasma.github.io/Logging_1495/tillsyn/A 20063-2025 tillsynsbegäran.docx", "A 20063-2025")</f>
        <v/>
      </c>
      <c r="AB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46221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s="2" t="inlineStr">
        <is>
          <t>Motaggsvamp</t>
        </is>
      </c>
      <c r="V14">
        <f>HYPERLINK("https://klasma.github.io/Logging_1495/artfynd/A 55928-2025 artfynd.xlsx", "A 55928-2025")</f>
        <v/>
      </c>
      <c r="W14">
        <f>HYPERLINK("https://klasma.github.io/Logging_1495/kartor/A 55928-2025 karta.png", "A 55928-2025")</f>
        <v/>
      </c>
      <c r="Y14">
        <f>HYPERLINK("https://klasma.github.io/Logging_1495/klagomål/A 55928-2025 FSC-klagomål.docx", "A 55928-2025")</f>
        <v/>
      </c>
      <c r="Z14">
        <f>HYPERLINK("https://klasma.github.io/Logging_1495/klagomålsmail/A 55928-2025 FSC-klagomål mail.docx", "A 55928-2025")</f>
        <v/>
      </c>
      <c r="AA14">
        <f>HYPERLINK("https://klasma.github.io/Logging_1495/tillsyn/A 55928-2025 tillsynsbegäran.docx", "A 55928-2025")</f>
        <v/>
      </c>
      <c r="AB14">
        <f>HYPERLINK("https://klasma.github.io/Logging_1495/tillsynsmail/A 55928-2025 tillsynsbegäran mail.docx", "A 55928-2025")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46221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Igelkott</t>
        </is>
      </c>
      <c r="V15">
        <f>HYPERLINK("https://klasma.github.io/Logging_1495/artfynd/A 30080-2023 artfynd.xlsx", "A 30080-2023")</f>
        <v/>
      </c>
      <c r="W15">
        <f>HYPERLINK("https://klasma.github.io/Logging_1495/kartor/A 30080-2023 karta.png", "A 30080-2023")</f>
        <v/>
      </c>
      <c r="Y15">
        <f>HYPERLINK("https://klasma.github.io/Logging_1495/klagomål/A 30080-2023 FSC-klagomål.docx", "A 30080-2023")</f>
        <v/>
      </c>
      <c r="Z15">
        <f>HYPERLINK("https://klasma.github.io/Logging_1495/klagomålsmail/A 30080-2023 FSC-klagomål mail.docx", "A 30080-2023")</f>
        <v/>
      </c>
      <c r="AA15">
        <f>HYPERLINK("https://klasma.github.io/Logging_1495/tillsyn/A 30080-2023 tillsynsbegäran.docx", "A 30080-2023")</f>
        <v/>
      </c>
      <c r="AB15">
        <f>HYPERLINK("https://klasma.github.io/Logging_1495/tillsynsmail/A 30080-2023 tillsynsbegäran mail.docx", "A 30080-2023")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46221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Grönvit nattviol</t>
        </is>
      </c>
      <c r="V16">
        <f>HYPERLINK("https://klasma.github.io/Logging_1495/artfynd/A 19729-2026 artfynd.xlsx", "A 19729-2026")</f>
        <v/>
      </c>
      <c r="W16">
        <f>HYPERLINK("https://klasma.github.io/Logging_1495/kartor/A 19729-2026 karta.png", "A 19729-2026")</f>
        <v/>
      </c>
      <c r="Y16">
        <f>HYPERLINK("https://klasma.github.io/Logging_1495/klagomål/A 19729-2026 FSC-klagomål.docx", "A 19729-2026")</f>
        <v/>
      </c>
      <c r="Z16">
        <f>HYPERLINK("https://klasma.github.io/Logging_1495/klagomålsmail/A 19729-2026 FSC-klagomål mail.docx", "A 19729-2026")</f>
        <v/>
      </c>
      <c r="AA16">
        <f>HYPERLINK("https://klasma.github.io/Logging_1495/tillsyn/A 19729-2026 tillsynsbegäran.docx", "A 19729-2026")</f>
        <v/>
      </c>
      <c r="AB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46221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Svinrot</t>
        </is>
      </c>
      <c r="V17">
        <f>HYPERLINK("https://klasma.github.io/Logging_1495/artfynd/A 52041-2023 artfynd.xlsx", "A 52041-2023")</f>
        <v/>
      </c>
      <c r="W17">
        <f>HYPERLINK("https://klasma.github.io/Logging_1495/kartor/A 52041-2023 karta.png", "A 52041-2023")</f>
        <v/>
      </c>
      <c r="Y17">
        <f>HYPERLINK("https://klasma.github.io/Logging_1495/klagomål/A 52041-2023 FSC-klagomål.docx", "A 52041-2023")</f>
        <v/>
      </c>
      <c r="Z17">
        <f>HYPERLINK("https://klasma.github.io/Logging_1495/klagomålsmail/A 52041-2023 FSC-klagomål mail.docx", "A 52041-2023")</f>
        <v/>
      </c>
      <c r="AA17">
        <f>HYPERLINK("https://klasma.github.io/Logging_1495/tillsyn/A 52041-2023 tillsynsbegäran.docx", "A 52041-2023")</f>
        <v/>
      </c>
      <c r="AB17">
        <f>HYPERLINK("https://klasma.github.io/Logging_1495/tillsynsmail/A 52041-2023 tillsynsbegäran mail.docx", "A 52041-2023")</f>
        <v/>
      </c>
    </row>
    <row r="18" ht="15" customHeight="1">
      <c r="A18" t="inlineStr">
        <is>
          <t>A 23455-2026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46221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Revlummer</t>
        </is>
      </c>
      <c r="V18">
        <f>HYPERLINK("https://klasma.github.io/Logging_1495/artfynd/A 23455-2026 artfynd.xlsx", "A 23455-2026")</f>
        <v/>
      </c>
      <c r="W18">
        <f>HYPERLINK("https://klasma.github.io/Logging_1495/kartor/A 23455-2026 karta.png", "A 23455-2026")</f>
        <v/>
      </c>
      <c r="Y18">
        <f>HYPERLINK("https://klasma.github.io/Logging_1495/klagomål/A 23455-2026 FSC-klagomål.docx", "A 23455-2026")</f>
        <v/>
      </c>
      <c r="Z18">
        <f>HYPERLINK("https://klasma.github.io/Logging_1495/klagomålsmail/A 23455-2026 FSC-klagomål mail.docx", "A 23455-2026")</f>
        <v/>
      </c>
      <c r="AA18">
        <f>HYPERLINK("https://klasma.github.io/Logging_1495/tillsyn/A 23455-2026 tillsynsbegäran.docx", "A 23455-2026")</f>
        <v/>
      </c>
      <c r="AB18">
        <f>HYPERLINK("https://klasma.github.io/Logging_1495/tillsynsmail/A 23455-2026 tillsynsbegäran mail.docx", "A 23455-2026")</f>
        <v/>
      </c>
    </row>
    <row r="19" ht="15" customHeight="1">
      <c r="A19" t="inlineStr">
        <is>
          <t>S 725-2026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46093</v>
      </c>
      <c r="E19" s="1" t="n">
        <v>46221</v>
      </c>
      <c r="F19" t="inlineStr">
        <is>
          <t>VÄSTRA GÖTALANDS LÄN</t>
        </is>
      </c>
      <c r="G19" t="inlineStr">
        <is>
          <t>SKARA</t>
        </is>
      </c>
      <c r="H19" t="inlineStr">
        <is>
          <t>Sveaskog</t>
        </is>
      </c>
      <c r="I19" t="n">
        <v>520.8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Vågbandad barkbock</t>
        </is>
      </c>
      <c r="V19">
        <f>HYPERLINK("https://klasma.github.io/Logging_1495/artfynd/S 725-2026 artfynd.xlsx", "S 725-2026")</f>
        <v/>
      </c>
      <c r="W19">
        <f>HYPERLINK("https://klasma.github.io/Logging_1495/kartor/S 725-2026 karta.png", "S 725-2026")</f>
        <v/>
      </c>
      <c r="Y19">
        <f>HYPERLINK("https://klasma.github.io/Logging_1495/klagomål/S 725-2026 FSC-klagomål.docx", "S 725-2026")</f>
        <v/>
      </c>
      <c r="Z19">
        <f>HYPERLINK("https://klasma.github.io/Logging_1495/klagomålsmail/S 725-2026 FSC-klagomål mail.docx", "S 725-2026")</f>
        <v/>
      </c>
      <c r="AA19">
        <f>HYPERLINK("https://klasma.github.io/Logging_1495/tillsyn/S 725-2026 tillsynsbegäran.docx", "S 725-2026")</f>
        <v/>
      </c>
      <c r="AB19">
        <f>HYPERLINK("https://klasma.github.io/Logging_1495/tillsynsmail/S 725-2026 tillsynsbegäran mail.docx", "S 725-2026")</f>
        <v/>
      </c>
    </row>
    <row r="20" ht="15" customHeight="1">
      <c r="A20" t="inlineStr">
        <is>
          <t>A 74438-2021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44560</v>
      </c>
      <c r="E20" s="1" t="n">
        <v>46221</v>
      </c>
      <c r="F20" t="inlineStr">
        <is>
          <t>VÄSTRA GÖTALANDS LÄN</t>
        </is>
      </c>
      <c r="G20" t="inlineStr">
        <is>
          <t>SKARA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40946-2021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46221</v>
      </c>
      <c r="F21" t="inlineStr">
        <is>
          <t>VÄSTRA GÖTALANDS LÄN</t>
        </is>
      </c>
      <c r="G21" t="inlineStr">
        <is>
          <t>SKARA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46221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46221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46221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46221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46221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46221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46221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46221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46221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46221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46221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46221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46221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46221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46221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46221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46221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62890-2023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45272</v>
      </c>
      <c r="E39" s="1" t="n">
        <v>46221</v>
      </c>
      <c r="F39" t="inlineStr">
        <is>
          <t>VÄSTRA GÖTALANDS LÄN</t>
        </is>
      </c>
      <c r="G39" t="inlineStr">
        <is>
          <t>SKARA</t>
        </is>
      </c>
      <c r="I39" t="n">
        <v>7.6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5825-2024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45335</v>
      </c>
      <c r="E40" s="1" t="n">
        <v>46221</v>
      </c>
      <c r="F40" t="inlineStr">
        <is>
          <t>VÄSTRA GÖTALANDS LÄN</t>
        </is>
      </c>
      <c r="G40" t="inlineStr">
        <is>
          <t>SKARA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14844-2024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45398</v>
      </c>
      <c r="E41" s="1" t="n">
        <v>46221</v>
      </c>
      <c r="F41" t="inlineStr">
        <is>
          <t>VÄSTRA GÖTALANDS LÄN</t>
        </is>
      </c>
      <c r="G41" t="inlineStr">
        <is>
          <t>SKARA</t>
        </is>
      </c>
      <c r="H41" t="inlineStr">
        <is>
          <t>Kommuner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48098-2022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44856</v>
      </c>
      <c r="E42" s="1" t="n">
        <v>46221</v>
      </c>
      <c r="F42" t="inlineStr">
        <is>
          <t>VÄSTRA GÖTALANDS LÄN</t>
        </is>
      </c>
      <c r="G42" t="inlineStr">
        <is>
          <t>SKARA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46221</v>
      </c>
      <c r="F43" t="inlineStr">
        <is>
          <t>VÄSTRA GÖTALANDS LÄN</t>
        </is>
      </c>
      <c r="G43" t="inlineStr">
        <is>
          <t>SKARA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57258-2022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46221</v>
      </c>
      <c r="F44" t="inlineStr">
        <is>
          <t>VÄSTRA GÖTALANDS LÄN</t>
        </is>
      </c>
      <c r="G44" t="inlineStr">
        <is>
          <t>SKARA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65124-2023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45288</v>
      </c>
      <c r="E45" s="1" t="n">
        <v>46221</v>
      </c>
      <c r="F45" t="inlineStr">
        <is>
          <t>VÄSTRA GÖTALANDS LÄN</t>
        </is>
      </c>
      <c r="G45" t="inlineStr">
        <is>
          <t>SKARA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60654-2021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46221</v>
      </c>
      <c r="F46" t="inlineStr">
        <is>
          <t>VÄSTRA GÖTALANDS LÄN</t>
        </is>
      </c>
      <c r="G46" t="inlineStr">
        <is>
          <t>SKARA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57238-2022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46221</v>
      </c>
      <c r="F47" t="inlineStr">
        <is>
          <t>VÄSTRA GÖTALANDS LÄN</t>
        </is>
      </c>
      <c r="G47" t="inlineStr">
        <is>
          <t>SKARA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26575-2024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45469</v>
      </c>
      <c r="E48" s="1" t="n">
        <v>46221</v>
      </c>
      <c r="F48" t="inlineStr">
        <is>
          <t>VÄSTRA GÖTALANDS LÄN</t>
        </is>
      </c>
      <c r="G48" t="inlineStr">
        <is>
          <t>SKARA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26567-2024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45469</v>
      </c>
      <c r="E49" s="1" t="n">
        <v>46221</v>
      </c>
      <c r="F49" t="inlineStr">
        <is>
          <t>VÄSTRA GÖTALANDS LÄN</t>
        </is>
      </c>
      <c r="G49" t="inlineStr">
        <is>
          <t>SKARA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25176-2023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45086</v>
      </c>
      <c r="E50" s="1" t="n">
        <v>46221</v>
      </c>
      <c r="F50" t="inlineStr">
        <is>
          <t>VÄSTRA GÖTALANDS LÄN</t>
        </is>
      </c>
      <c r="G50" t="inlineStr">
        <is>
          <t>SKARA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3822-2022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44587</v>
      </c>
      <c r="E51" s="1" t="n">
        <v>46221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1566-2023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44937</v>
      </c>
      <c r="E52" s="1" t="n">
        <v>46221</v>
      </c>
      <c r="F52" t="inlineStr">
        <is>
          <t>VÄSTRA GÖTALANDS LÄN</t>
        </is>
      </c>
      <c r="G52" t="inlineStr">
        <is>
          <t>SKARA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28041-2025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45817</v>
      </c>
      <c r="E53" s="1" t="n">
        <v>46221</v>
      </c>
      <c r="F53" t="inlineStr">
        <is>
          <t>VÄSTRA GÖTALANDS LÄN</t>
        </is>
      </c>
      <c r="G53" t="inlineStr">
        <is>
          <t>SKARA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29255-2025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45824</v>
      </c>
      <c r="E54" s="1" t="n">
        <v>46221</v>
      </c>
      <c r="F54" t="inlineStr">
        <is>
          <t>VÄSTRA GÖTALANDS LÄN</t>
        </is>
      </c>
      <c r="G54" t="inlineStr">
        <is>
          <t>SKARA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3144-2023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44946</v>
      </c>
      <c r="E55" s="1" t="n">
        <v>46221</v>
      </c>
      <c r="F55" t="inlineStr">
        <is>
          <t>VÄSTRA GÖTALANDS LÄN</t>
        </is>
      </c>
      <c r="G55" t="inlineStr">
        <is>
          <t>SKARA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16510-2024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45408</v>
      </c>
      <c r="E56" s="1" t="n">
        <v>46221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28738-2025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45820</v>
      </c>
      <c r="E57" s="1" t="n">
        <v>46221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37032-2025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46221</v>
      </c>
      <c r="F58" t="inlineStr">
        <is>
          <t>VÄSTRA GÖTALANDS LÄN</t>
        </is>
      </c>
      <c r="G58" t="inlineStr">
        <is>
          <t>SKARA</t>
        </is>
      </c>
      <c r="I58" t="n">
        <v>5.9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39494-2025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46221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39365-2025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46221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39367-2025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45889</v>
      </c>
      <c r="E61" s="1" t="n">
        <v>46221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39492-2025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46221</v>
      </c>
      <c r="F62" t="inlineStr">
        <is>
          <t>VÄSTRA GÖTALANDS LÄN</t>
        </is>
      </c>
      <c r="G62" t="inlineStr">
        <is>
          <t>SKARA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7946-2023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44973</v>
      </c>
      <c r="E63" s="1" t="n">
        <v>46221</v>
      </c>
      <c r="F63" t="inlineStr">
        <is>
          <t>VÄSTRA GÖTALANDS LÄN</t>
        </is>
      </c>
      <c r="G63" t="inlineStr">
        <is>
          <t>SKARA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18616-2025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45763</v>
      </c>
      <c r="E64" s="1" t="n">
        <v>46221</v>
      </c>
      <c r="F64" t="inlineStr">
        <is>
          <t>VÄSTRA GÖTALANDS LÄN</t>
        </is>
      </c>
      <c r="G64" t="inlineStr">
        <is>
          <t>SKARA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40264-2024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45554</v>
      </c>
      <c r="E65" s="1" t="n">
        <v>46221</v>
      </c>
      <c r="F65" t="inlineStr">
        <is>
          <t>VÄSTRA GÖTALANDS LÄN</t>
        </is>
      </c>
      <c r="G65" t="inlineStr">
        <is>
          <t>SKARA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9006-2022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46221</v>
      </c>
      <c r="F66" t="inlineStr">
        <is>
          <t>VÄSTRA GÖTALANDS LÄN</t>
        </is>
      </c>
      <c r="G66" t="inlineStr">
        <is>
          <t>SKARA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32844-2025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45839</v>
      </c>
      <c r="E67" s="1" t="n">
        <v>46221</v>
      </c>
      <c r="F67" t="inlineStr">
        <is>
          <t>VÄSTRA GÖTALANDS LÄN</t>
        </is>
      </c>
      <c r="G67" t="inlineStr">
        <is>
          <t>SKARA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32850-2025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45839</v>
      </c>
      <c r="E68" s="1" t="n">
        <v>46221</v>
      </c>
      <c r="F68" t="inlineStr">
        <is>
          <t>VÄSTRA GÖTALANDS LÄN</t>
        </is>
      </c>
      <c r="G68" t="inlineStr">
        <is>
          <t>SKARA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46052</v>
      </c>
      <c r="E69" s="1" t="n">
        <v>46221</v>
      </c>
      <c r="F69" t="inlineStr">
        <is>
          <t>VÄSTRA GÖTALANDS LÄN</t>
        </is>
      </c>
      <c r="G69" t="inlineStr">
        <is>
          <t>SKARA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4306-2023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44953</v>
      </c>
      <c r="E70" s="1" t="n">
        <v>46221</v>
      </c>
      <c r="F70" t="inlineStr">
        <is>
          <t>VÄSTRA GÖTALANDS LÄN</t>
        </is>
      </c>
      <c r="G70" t="inlineStr">
        <is>
          <t>SKARA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33095-2025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45840</v>
      </c>
      <c r="E71" s="1" t="n">
        <v>46221</v>
      </c>
      <c r="F71" t="inlineStr">
        <is>
          <t>VÄSTRA GÖTALANDS LÄN</t>
        </is>
      </c>
      <c r="G71" t="inlineStr">
        <is>
          <t>SKARA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44819-2025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46221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5897-2026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46052</v>
      </c>
      <c r="E73" s="1" t="n">
        <v>46221</v>
      </c>
      <c r="F73" t="inlineStr">
        <is>
          <t>VÄSTRA GÖTALANDS LÄN</t>
        </is>
      </c>
      <c r="G73" t="inlineStr">
        <is>
          <t>SKARA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46221</v>
      </c>
      <c r="F74" t="inlineStr">
        <is>
          <t>VÄSTRA GÖTALANDS LÄN</t>
        </is>
      </c>
      <c r="G74" t="inlineStr">
        <is>
          <t>SKARA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46155-2025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46221</v>
      </c>
      <c r="F75" t="inlineStr">
        <is>
          <t>VÄSTRA GÖTALANDS LÄN</t>
        </is>
      </c>
      <c r="G75" t="inlineStr">
        <is>
          <t>SKARA</t>
        </is>
      </c>
      <c r="H75" t="inlineStr">
        <is>
          <t>Kyrkan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46203-2025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46221</v>
      </c>
      <c r="F76" t="inlineStr">
        <is>
          <t>VÄSTRA GÖTALANDS LÄN</t>
        </is>
      </c>
      <c r="G76" t="inlineStr">
        <is>
          <t>SKARA</t>
        </is>
      </c>
      <c r="H76" t="inlineStr">
        <is>
          <t>Kyrkan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46211-2025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46221</v>
      </c>
      <c r="F77" t="inlineStr">
        <is>
          <t>VÄSTRA GÖTALANDS LÄN</t>
        </is>
      </c>
      <c r="G77" t="inlineStr">
        <is>
          <t>SKARA</t>
        </is>
      </c>
      <c r="H77" t="inlineStr">
        <is>
          <t>Kyrkan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46183-2025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46221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20721-2025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45776</v>
      </c>
      <c r="E79" s="1" t="n">
        <v>46221</v>
      </c>
      <c r="F79" t="inlineStr">
        <is>
          <t>VÄSTRA GÖTALANDS LÄN</t>
        </is>
      </c>
      <c r="G79" t="inlineStr">
        <is>
          <t>SKARA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9118-2025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45713</v>
      </c>
      <c r="E80" s="1" t="n">
        <v>46221</v>
      </c>
      <c r="F80" t="inlineStr">
        <is>
          <t>VÄSTRA GÖTALANDS LÄN</t>
        </is>
      </c>
      <c r="G80" t="inlineStr">
        <is>
          <t>SKARA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18704-2022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44687</v>
      </c>
      <c r="E81" s="1" t="n">
        <v>46221</v>
      </c>
      <c r="F81" t="inlineStr">
        <is>
          <t>VÄSTRA GÖTALANDS LÄN</t>
        </is>
      </c>
      <c r="G81" t="inlineStr">
        <is>
          <t>SKARA</t>
        </is>
      </c>
      <c r="H81" t="inlineStr">
        <is>
          <t>Kommuner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60233-2023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45258</v>
      </c>
      <c r="E82" s="1" t="n">
        <v>46221</v>
      </c>
      <c r="F82" t="inlineStr">
        <is>
          <t>VÄSTRA GÖTALANDS LÄN</t>
        </is>
      </c>
      <c r="G82" t="inlineStr">
        <is>
          <t>SKARA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28073-2023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45099</v>
      </c>
      <c r="E83" s="1" t="n">
        <v>46221</v>
      </c>
      <c r="F83" t="inlineStr">
        <is>
          <t>VÄSTRA GÖTALANDS LÄN</t>
        </is>
      </c>
      <c r="G83" t="inlineStr">
        <is>
          <t>SKARA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47010-2025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45929</v>
      </c>
      <c r="E84" s="1" t="n">
        <v>46221</v>
      </c>
      <c r="F84" t="inlineStr">
        <is>
          <t>VÄSTRA GÖTALANDS LÄN</t>
        </is>
      </c>
      <c r="G84" t="inlineStr">
        <is>
          <t>SKARA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60840-2021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46221</v>
      </c>
      <c r="F85" t="inlineStr">
        <is>
          <t>VÄSTRA GÖTALANDS LÄN</t>
        </is>
      </c>
      <c r="G85" t="inlineStr">
        <is>
          <t>SKARA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5559-2023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46221</v>
      </c>
      <c r="F86" t="inlineStr">
        <is>
          <t>VÄSTRA GÖTALANDS LÄN</t>
        </is>
      </c>
      <c r="G86" t="inlineStr">
        <is>
          <t>SKARA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48088-2025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45932</v>
      </c>
      <c r="E87" s="1" t="n">
        <v>46221</v>
      </c>
      <c r="F87" t="inlineStr">
        <is>
          <t>VÄSTRA GÖTALANDS LÄN</t>
        </is>
      </c>
      <c r="G87" t="inlineStr">
        <is>
          <t>SKARA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60086-2024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46221</v>
      </c>
      <c r="F88" t="inlineStr">
        <is>
          <t>VÄSTRA GÖTALANDS LÄN</t>
        </is>
      </c>
      <c r="G88" t="inlineStr">
        <is>
          <t>SKARA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7233-2023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44970</v>
      </c>
      <c r="E89" s="1" t="n">
        <v>46221</v>
      </c>
      <c r="F89" t="inlineStr">
        <is>
          <t>VÄSTRA GÖTALANDS LÄN</t>
        </is>
      </c>
      <c r="G89" t="inlineStr">
        <is>
          <t>SKARA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32668-2024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45514</v>
      </c>
      <c r="E90" s="1" t="n">
        <v>46221</v>
      </c>
      <c r="F90" t="inlineStr">
        <is>
          <t>VÄSTRA GÖTALANDS LÄN</t>
        </is>
      </c>
      <c r="G90" t="inlineStr">
        <is>
          <t>SKARA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7522-2026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46059</v>
      </c>
      <c r="E91" s="1" t="n">
        <v>46221</v>
      </c>
      <c r="F91" t="inlineStr">
        <is>
          <t>VÄSTRA GÖTALANDS LÄN</t>
        </is>
      </c>
      <c r="G91" t="inlineStr">
        <is>
          <t>SKARA</t>
        </is>
      </c>
      <c r="I91" t="n">
        <v>8.4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7530-2026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46059</v>
      </c>
      <c r="E92" s="1" t="n">
        <v>46221</v>
      </c>
      <c r="F92" t="inlineStr">
        <is>
          <t>VÄSTRA GÖTALANDS LÄN</t>
        </is>
      </c>
      <c r="G92" t="inlineStr">
        <is>
          <t>SKARA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7531-2026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46059</v>
      </c>
      <c r="E93" s="1" t="n">
        <v>46221</v>
      </c>
      <c r="F93" t="inlineStr">
        <is>
          <t>VÄSTRA GÖTALANDS LÄN</t>
        </is>
      </c>
      <c r="G93" t="inlineStr">
        <is>
          <t>SKARA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50590-2025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46221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31128-2023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45113</v>
      </c>
      <c r="E95" s="1" t="n">
        <v>46221</v>
      </c>
      <c r="F95" t="inlineStr">
        <is>
          <t>VÄSTRA GÖTALANDS LÄN</t>
        </is>
      </c>
      <c r="G95" t="inlineStr">
        <is>
          <t>SKARA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10176-2025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45719</v>
      </c>
      <c r="E96" s="1" t="n">
        <v>46221</v>
      </c>
      <c r="F96" t="inlineStr">
        <is>
          <t>VÄSTRA GÖTALANDS LÄN</t>
        </is>
      </c>
      <c r="G96" t="inlineStr">
        <is>
          <t>SKARA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6366-2025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45699</v>
      </c>
      <c r="E97" s="1" t="n">
        <v>46221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53170-2025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45958</v>
      </c>
      <c r="E98" s="1" t="n">
        <v>46221</v>
      </c>
      <c r="F98" t="inlineStr">
        <is>
          <t>VÄSTRA GÖTALANDS LÄN</t>
        </is>
      </c>
      <c r="G98" t="inlineStr">
        <is>
          <t>SKARA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10827-2023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44990</v>
      </c>
      <c r="E99" s="1" t="n">
        <v>46221</v>
      </c>
      <c r="F99" t="inlineStr">
        <is>
          <t>VÄSTRA GÖTALANDS LÄN</t>
        </is>
      </c>
      <c r="G99" t="inlineStr">
        <is>
          <t>SKARA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53527-2025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45960</v>
      </c>
      <c r="E100" s="1" t="n">
        <v>46221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Kyrkan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27980-2023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45098</v>
      </c>
      <c r="E101" s="1" t="n">
        <v>46221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42874-2022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44832</v>
      </c>
      <c r="E102" s="1" t="n">
        <v>46221</v>
      </c>
      <c r="F102" t="inlineStr">
        <is>
          <t>VÄSTRA GÖTALANDS LÄN</t>
        </is>
      </c>
      <c r="G102" t="inlineStr">
        <is>
          <t>SKARA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26091-2023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45091</v>
      </c>
      <c r="E103" s="1" t="n">
        <v>46221</v>
      </c>
      <c r="F103" t="inlineStr">
        <is>
          <t>VÄSTRA GÖTALANDS LÄN</t>
        </is>
      </c>
      <c r="G103" t="inlineStr">
        <is>
          <t>SKARA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9691-2026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46072</v>
      </c>
      <c r="E104" s="1" t="n">
        <v>46221</v>
      </c>
      <c r="F104" t="inlineStr">
        <is>
          <t>VÄSTRA GÖTALANDS LÄN</t>
        </is>
      </c>
      <c r="G104" t="inlineStr">
        <is>
          <t>SKARA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45667</v>
      </c>
      <c r="E105" s="1" t="n">
        <v>46221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65095-2023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45288</v>
      </c>
      <c r="E106" s="1" t="n">
        <v>46221</v>
      </c>
      <c r="F106" t="inlineStr">
        <is>
          <t>VÄSTRA GÖTALANDS LÄN</t>
        </is>
      </c>
      <c r="G106" t="inlineStr">
        <is>
          <t>SKARA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30085-2023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45110</v>
      </c>
      <c r="E107" s="1" t="n">
        <v>46221</v>
      </c>
      <c r="F107" t="inlineStr">
        <is>
          <t>VÄSTRA GÖTALANDS LÄN</t>
        </is>
      </c>
      <c r="G107" t="inlineStr">
        <is>
          <t>SKARA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56274-2025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46221</v>
      </c>
      <c r="F108" t="inlineStr">
        <is>
          <t>VÄSTRA GÖTALANDS LÄN</t>
        </is>
      </c>
      <c r="G108" t="inlineStr">
        <is>
          <t>SKARA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18739-2023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45043</v>
      </c>
      <c r="E109" s="1" t="n">
        <v>46221</v>
      </c>
      <c r="F109" t="inlineStr">
        <is>
          <t>VÄSTRA GÖTALANDS LÄN</t>
        </is>
      </c>
      <c r="G109" t="inlineStr">
        <is>
          <t>SKARA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12332-2026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46087</v>
      </c>
      <c r="E110" s="1" t="n">
        <v>46221</v>
      </c>
      <c r="F110" t="inlineStr">
        <is>
          <t>VÄSTRA GÖTALANDS LÄN</t>
        </is>
      </c>
      <c r="G110" t="inlineStr">
        <is>
          <t>SKARA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42301-2023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45180</v>
      </c>
      <c r="E111" s="1" t="n">
        <v>46221</v>
      </c>
      <c r="F111" t="inlineStr">
        <is>
          <t>VÄSTRA GÖTALANDS LÄN</t>
        </is>
      </c>
      <c r="G111" t="inlineStr">
        <is>
          <t>SKARA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30515-2024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45492</v>
      </c>
      <c r="E112" s="1" t="n">
        <v>46221</v>
      </c>
      <c r="F112" t="inlineStr">
        <is>
          <t>VÄSTRA GÖTALANDS LÄN</t>
        </is>
      </c>
      <c r="G112" t="inlineStr">
        <is>
          <t>SKARA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13276-2026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46093</v>
      </c>
      <c r="E113" s="1" t="n">
        <v>46221</v>
      </c>
      <c r="F113" t="inlineStr">
        <is>
          <t>VÄSTRA GÖTALANDS LÄN</t>
        </is>
      </c>
      <c r="G113" t="inlineStr">
        <is>
          <t>SKARA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13063-2026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46093</v>
      </c>
      <c r="E114" s="1" t="n">
        <v>46221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59842-2022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44908</v>
      </c>
      <c r="E115" s="1" t="n">
        <v>46221</v>
      </c>
      <c r="F115" t="inlineStr">
        <is>
          <t>VÄSTRA GÖTALANDS LÄN</t>
        </is>
      </c>
      <c r="G115" t="inlineStr">
        <is>
          <t>SKARA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61324-2025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46221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14597-2026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46101</v>
      </c>
      <c r="E117" s="1" t="n">
        <v>46221</v>
      </c>
      <c r="F117" t="inlineStr">
        <is>
          <t>VÄSTRA GÖTALANDS LÄN</t>
        </is>
      </c>
      <c r="G117" t="inlineStr">
        <is>
          <t>SKARA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30083-2023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45110</v>
      </c>
      <c r="E118" s="1" t="n">
        <v>46221</v>
      </c>
      <c r="F118" t="inlineStr">
        <is>
          <t>VÄSTRA GÖTALANDS LÄN</t>
        </is>
      </c>
      <c r="G118" t="inlineStr">
        <is>
          <t>SKARA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36041-2023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45149</v>
      </c>
      <c r="E119" s="1" t="n">
        <v>46221</v>
      </c>
      <c r="F119" t="inlineStr">
        <is>
          <t>VÄSTRA GÖTALANDS LÄN</t>
        </is>
      </c>
      <c r="G119" t="inlineStr">
        <is>
          <t>SKARA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36045-2023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45149</v>
      </c>
      <c r="E120" s="1" t="n">
        <v>46221</v>
      </c>
      <c r="F120" t="inlineStr">
        <is>
          <t>VÄSTRA GÖTALANDS LÄN</t>
        </is>
      </c>
      <c r="G120" t="inlineStr">
        <is>
          <t>SKARA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14577-2026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46101</v>
      </c>
      <c r="E121" s="1" t="n">
        <v>46221</v>
      </c>
      <c r="F121" t="inlineStr">
        <is>
          <t>VÄSTRA GÖTALANDS LÄN</t>
        </is>
      </c>
      <c r="G121" t="inlineStr">
        <is>
          <t>SKARA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14422-2026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46100</v>
      </c>
      <c r="E122" s="1" t="n">
        <v>46221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62779-2025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46221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Kyrkan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30019-2023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45109</v>
      </c>
      <c r="E124" s="1" t="n">
        <v>46221</v>
      </c>
      <c r="F124" t="inlineStr">
        <is>
          <t>VÄSTRA GÖTALANDS LÄN</t>
        </is>
      </c>
      <c r="G124" t="inlineStr">
        <is>
          <t>SKARA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30069-2023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45110</v>
      </c>
      <c r="E125" s="1" t="n">
        <v>46221</v>
      </c>
      <c r="F125" t="inlineStr">
        <is>
          <t>VÄSTRA GÖTALANDS LÄN</t>
        </is>
      </c>
      <c r="G125" t="inlineStr">
        <is>
          <t>SKARA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30079-2023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45110</v>
      </c>
      <c r="E126" s="1" t="n">
        <v>46221</v>
      </c>
      <c r="F126" t="inlineStr">
        <is>
          <t>VÄSTRA GÖTALANDS LÄN</t>
        </is>
      </c>
      <c r="G126" t="inlineStr">
        <is>
          <t>SKARA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30479-2023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46221</v>
      </c>
      <c r="F127" t="inlineStr">
        <is>
          <t>VÄSTRA GÖTALANDS LÄN</t>
        </is>
      </c>
      <c r="G127" t="inlineStr">
        <is>
          <t>SKARA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15429-2026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46106</v>
      </c>
      <c r="E128" s="1" t="n">
        <v>46221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15438-2026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46106</v>
      </c>
      <c r="E129" s="1" t="n">
        <v>46221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15425-2026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46106</v>
      </c>
      <c r="E130" s="1" t="n">
        <v>46221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16085-2026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46108</v>
      </c>
      <c r="E131" s="1" t="n">
        <v>46221</v>
      </c>
      <c r="F131" t="inlineStr">
        <is>
          <t>VÄSTRA GÖTALANDS LÄN</t>
        </is>
      </c>
      <c r="G131" t="inlineStr">
        <is>
          <t>SKARA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16199-2026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46221</v>
      </c>
      <c r="F132" t="inlineStr">
        <is>
          <t>VÄSTRA GÖTALANDS LÄN</t>
        </is>
      </c>
      <c r="G132" t="inlineStr">
        <is>
          <t>SKARA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16201-2026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46221</v>
      </c>
      <c r="F133" t="inlineStr">
        <is>
          <t>VÄSTRA GÖTALANDS LÄN</t>
        </is>
      </c>
      <c r="G133" t="inlineStr">
        <is>
          <t>SKARA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16187-2026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46221</v>
      </c>
      <c r="F134" t="inlineStr">
        <is>
          <t>VÄSTRA GÖTALANDS LÄN</t>
        </is>
      </c>
      <c r="G134" t="inlineStr">
        <is>
          <t>SKARA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16198-2026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46221</v>
      </c>
      <c r="F135" t="inlineStr">
        <is>
          <t>VÄSTRA GÖTALANDS LÄN</t>
        </is>
      </c>
      <c r="G135" t="inlineStr">
        <is>
          <t>SKARA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16755-2026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46113</v>
      </c>
      <c r="E136" s="1" t="n">
        <v>46221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Sveaskog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2110-2024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45309</v>
      </c>
      <c r="E137" s="1" t="n">
        <v>46221</v>
      </c>
      <c r="F137" t="inlineStr">
        <is>
          <t>VÄSTRA GÖTALANDS LÄN</t>
        </is>
      </c>
      <c r="G137" t="inlineStr">
        <is>
          <t>SKARA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30513-2024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45492</v>
      </c>
      <c r="E138" s="1" t="n">
        <v>46221</v>
      </c>
      <c r="F138" t="inlineStr">
        <is>
          <t>VÄSTRA GÖTALANDS LÄN</t>
        </is>
      </c>
      <c r="G138" t="inlineStr">
        <is>
          <t>SKARA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17288-2026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46119</v>
      </c>
      <c r="E139" s="1" t="n">
        <v>46221</v>
      </c>
      <c r="F139" t="inlineStr">
        <is>
          <t>VÄSTRA GÖTALANDS LÄN</t>
        </is>
      </c>
      <c r="G139" t="inlineStr">
        <is>
          <t>SKARA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27265-2023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46221</v>
      </c>
      <c r="F140" t="inlineStr">
        <is>
          <t>VÄSTRA GÖTALANDS LÄN</t>
        </is>
      </c>
      <c r="G140" t="inlineStr">
        <is>
          <t>SKARA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37036-2024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45539</v>
      </c>
      <c r="E141" s="1" t="n">
        <v>46221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41602-2023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45175</v>
      </c>
      <c r="E142" s="1" t="n">
        <v>46221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Kommuner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18890-2026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46129</v>
      </c>
      <c r="E143" s="1" t="n">
        <v>46221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15927-2023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46221</v>
      </c>
      <c r="F144" t="inlineStr">
        <is>
          <t>VÄSTRA GÖTALANDS LÄN</t>
        </is>
      </c>
      <c r="G144" t="inlineStr">
        <is>
          <t>SKARA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25153-2024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45462</v>
      </c>
      <c r="E145" s="1" t="n">
        <v>46221</v>
      </c>
      <c r="F145" t="inlineStr">
        <is>
          <t>VÄSTRA GÖTALANDS LÄN</t>
        </is>
      </c>
      <c r="G145" t="inlineStr">
        <is>
          <t>SKARA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26480-2024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45469</v>
      </c>
      <c r="E146" s="1" t="n">
        <v>46221</v>
      </c>
      <c r="F146" t="inlineStr">
        <is>
          <t>VÄSTRA GÖTALANDS LÄN</t>
        </is>
      </c>
      <c r="G146" t="inlineStr">
        <is>
          <t>SKARA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26482-2024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45469</v>
      </c>
      <c r="E147" s="1" t="n">
        <v>46221</v>
      </c>
      <c r="F147" t="inlineStr">
        <is>
          <t>VÄSTRA GÖTALANDS LÄN</t>
        </is>
      </c>
      <c r="G147" t="inlineStr">
        <is>
          <t>SKARA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19950-2026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46136</v>
      </c>
      <c r="E148" s="1" t="n">
        <v>46221</v>
      </c>
      <c r="F148" t="inlineStr">
        <is>
          <t>VÄSTRA GÖTALANDS LÄN</t>
        </is>
      </c>
      <c r="G148" t="inlineStr">
        <is>
          <t>SKARA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38548-2025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45883</v>
      </c>
      <c r="E149" s="1" t="n">
        <v>46221</v>
      </c>
      <c r="F149" t="inlineStr">
        <is>
          <t>VÄSTRA GÖTALANDS LÄN</t>
        </is>
      </c>
      <c r="G149" t="inlineStr">
        <is>
          <t>SKARA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18606-2025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45763</v>
      </c>
      <c r="E150" s="1" t="n">
        <v>46221</v>
      </c>
      <c r="F150" t="inlineStr">
        <is>
          <t>VÄSTRA GÖTALANDS LÄN</t>
        </is>
      </c>
      <c r="G150" t="inlineStr">
        <is>
          <t>SKARA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9117-2025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45713</v>
      </c>
      <c r="E151" s="1" t="n">
        <v>46221</v>
      </c>
      <c r="F151" t="inlineStr">
        <is>
          <t>VÄSTRA GÖTALANDS LÄN</t>
        </is>
      </c>
      <c r="G151" t="inlineStr">
        <is>
          <t>SKARA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46185-2023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46221</v>
      </c>
      <c r="F152" t="inlineStr">
        <is>
          <t>VÄSTRA GÖTALANDS LÄN</t>
        </is>
      </c>
      <c r="G152" t="inlineStr">
        <is>
          <t>SKARA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45159-2022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44844</v>
      </c>
      <c r="E153" s="1" t="n">
        <v>46221</v>
      </c>
      <c r="F153" t="inlineStr">
        <is>
          <t>VÄSTRA GÖTALANDS LÄN</t>
        </is>
      </c>
      <c r="G153" t="inlineStr">
        <is>
          <t>SKARA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26084-2023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45091</v>
      </c>
      <c r="E154" s="1" t="n">
        <v>46221</v>
      </c>
      <c r="F154" t="inlineStr">
        <is>
          <t>VÄSTRA GÖTALANDS LÄN</t>
        </is>
      </c>
      <c r="G154" t="inlineStr">
        <is>
          <t>SKARA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26333-2026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46182</v>
      </c>
      <c r="E155" s="1" t="n">
        <v>46221</v>
      </c>
      <c r="F155" t="inlineStr">
        <is>
          <t>VÄSTRA GÖTALANDS LÄN</t>
        </is>
      </c>
      <c r="G155" t="inlineStr">
        <is>
          <t>SKARA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25407-2025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46221</v>
      </c>
      <c r="F156" t="inlineStr">
        <is>
          <t>VÄSTRA GÖTALANDS LÄN</t>
        </is>
      </c>
      <c r="G156" t="inlineStr">
        <is>
          <t>SKARA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18017-2024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45420</v>
      </c>
      <c r="E157" s="1" t="n">
        <v>46221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Sveaskog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20870-2022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44701</v>
      </c>
      <c r="E158" s="1" t="n">
        <v>46221</v>
      </c>
      <c r="F158" t="inlineStr">
        <is>
          <t>VÄSTRA GÖTALANDS LÄN</t>
        </is>
      </c>
      <c r="G158" t="inlineStr">
        <is>
          <t>SKARA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20098-2022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44698</v>
      </c>
      <c r="E159" s="1" t="n">
        <v>46221</v>
      </c>
      <c r="F159" t="inlineStr">
        <is>
          <t>VÄSTRA GÖTALANDS LÄN</t>
        </is>
      </c>
      <c r="G159" t="inlineStr">
        <is>
          <t>SKARA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45299</v>
      </c>
      <c r="E160" s="1" t="n">
        <v>46221</v>
      </c>
      <c r="F160" t="inlineStr">
        <is>
          <t>VÄSTRA GÖTALANDS LÄN</t>
        </is>
      </c>
      <c r="G160" t="inlineStr">
        <is>
          <t>SKARA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10913-2024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45370</v>
      </c>
      <c r="E161" s="1" t="n">
        <v>46221</v>
      </c>
      <c r="F161" t="inlineStr">
        <is>
          <t>VÄSTRA GÖTALANDS LÄN</t>
        </is>
      </c>
      <c r="G161" t="inlineStr">
        <is>
          <t>SKARA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27478-2026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46189</v>
      </c>
      <c r="E162" s="1" t="n">
        <v>46221</v>
      </c>
      <c r="F162" t="inlineStr">
        <is>
          <t>VÄSTRA GÖTALANDS LÄN</t>
        </is>
      </c>
      <c r="G162" t="inlineStr">
        <is>
          <t>SKARA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45313</v>
      </c>
      <c r="E163" s="1" t="n">
        <v>46221</v>
      </c>
      <c r="F163" t="inlineStr">
        <is>
          <t>VÄSTRA GÖTALANDS LÄN</t>
        </is>
      </c>
      <c r="G163" t="inlineStr">
        <is>
          <t>SKARA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22870-2024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45448</v>
      </c>
      <c r="E164" s="1" t="n">
        <v>46221</v>
      </c>
      <c r="F164" t="inlineStr">
        <is>
          <t>VÄSTRA GÖTALANDS LÄN</t>
        </is>
      </c>
      <c r="G164" t="inlineStr">
        <is>
          <t>SKARA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18701-2022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44687</v>
      </c>
      <c r="E165" s="1" t="n">
        <v>46221</v>
      </c>
      <c r="F165" t="inlineStr">
        <is>
          <t>VÄSTRA GÖTALANDS LÄN</t>
        </is>
      </c>
      <c r="G165" t="inlineStr">
        <is>
          <t>SKARA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46190-2023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46221</v>
      </c>
      <c r="F166" t="inlineStr">
        <is>
          <t>VÄSTRA GÖTALANDS LÄN</t>
        </is>
      </c>
      <c r="G166" t="inlineStr">
        <is>
          <t>SKARA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41562-2022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44827</v>
      </c>
      <c r="E167" s="1" t="n">
        <v>46221</v>
      </c>
      <c r="F167" t="inlineStr">
        <is>
          <t>VÄSTRA GÖTALANDS LÄN</t>
        </is>
      </c>
      <c r="G167" t="inlineStr">
        <is>
          <t>SKARA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45314</v>
      </c>
      <c r="E168" s="1" t="n">
        <v>46221</v>
      </c>
      <c r="F168" t="inlineStr">
        <is>
          <t>VÄSTRA GÖTALANDS LÄN</t>
        </is>
      </c>
      <c r="G168" t="inlineStr">
        <is>
          <t>SKARA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4542-2025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45687</v>
      </c>
      <c r="E169" s="1" t="n">
        <v>46221</v>
      </c>
      <c r="F169" t="inlineStr">
        <is>
          <t>VÄSTRA GÖTALANDS LÄN</t>
        </is>
      </c>
      <c r="G169" t="inlineStr">
        <is>
          <t>SKARA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59996-2022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44909</v>
      </c>
      <c r="E170" s="1" t="n">
        <v>46221</v>
      </c>
      <c r="F170" t="inlineStr">
        <is>
          <t>VÄSTRA GÖTALANDS LÄN</t>
        </is>
      </c>
      <c r="G170" t="inlineStr">
        <is>
          <t>SKARA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12937-2024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45385</v>
      </c>
      <c r="E171" s="1" t="n">
        <v>46221</v>
      </c>
      <c r="F171" t="inlineStr">
        <is>
          <t>VÄSTRA GÖTALANDS LÄN</t>
        </is>
      </c>
      <c r="G171" t="inlineStr">
        <is>
          <t>SKARA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11902-2023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44995</v>
      </c>
      <c r="E172" s="1" t="n">
        <v>46221</v>
      </c>
      <c r="F172" t="inlineStr">
        <is>
          <t>VÄSTRA GÖTALANDS LÄN</t>
        </is>
      </c>
      <c r="G172" t="inlineStr">
        <is>
          <t>SKARA</t>
        </is>
      </c>
      <c r="I172" t="n">
        <v>13.5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55246-2022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46221</v>
      </c>
      <c r="F173" t="inlineStr">
        <is>
          <t>VÄSTRA GÖTALANDS LÄN</t>
        </is>
      </c>
      <c r="G173" t="inlineStr">
        <is>
          <t>SKARA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50043-2023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45215</v>
      </c>
      <c r="E174" s="1" t="n">
        <v>46221</v>
      </c>
      <c r="F174" t="inlineStr">
        <is>
          <t>VÄSTRA GÖTALANDS LÄN</t>
        </is>
      </c>
      <c r="G174" t="inlineStr">
        <is>
          <t>SKARA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64551-2023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46221</v>
      </c>
      <c r="F175" t="inlineStr">
        <is>
          <t>VÄSTRA GÖTALANDS LÄN</t>
        </is>
      </c>
      <c r="G175" t="inlineStr">
        <is>
          <t>SKARA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38205-2022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46221</v>
      </c>
      <c r="F176" t="inlineStr">
        <is>
          <t>VÄSTRA GÖTALANDS LÄN</t>
        </is>
      </c>
      <c r="G176" t="inlineStr">
        <is>
          <t>SKARA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34569-2023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46221</v>
      </c>
      <c r="F177" t="inlineStr">
        <is>
          <t>VÄSTRA GÖTALANDS LÄN</t>
        </is>
      </c>
      <c r="G177" t="inlineStr">
        <is>
          <t>SKARA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11900-2023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44995</v>
      </c>
      <c r="E178" s="1" t="n">
        <v>46221</v>
      </c>
      <c r="F178" t="inlineStr">
        <is>
          <t>VÄSTRA GÖTALANDS LÄN</t>
        </is>
      </c>
      <c r="G178" t="inlineStr">
        <is>
          <t>SKARA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52383-2023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45224</v>
      </c>
      <c r="E179" s="1" t="n">
        <v>46221</v>
      </c>
      <c r="F179" t="inlineStr">
        <is>
          <t>VÄSTRA GÖTALANDS LÄN</t>
        </is>
      </c>
      <c r="G179" t="inlineStr">
        <is>
          <t>SKARA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64553-2023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46221</v>
      </c>
      <c r="F180" t="inlineStr">
        <is>
          <t>VÄSTRA GÖTALANDS LÄN</t>
        </is>
      </c>
      <c r="G180" t="inlineStr">
        <is>
          <t>SKARA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1567-2023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44937</v>
      </c>
      <c r="E181" s="1" t="n">
        <v>46221</v>
      </c>
      <c r="F181" t="inlineStr">
        <is>
          <t>VÄSTRA GÖTALANDS LÄN</t>
        </is>
      </c>
      <c r="G181" t="inlineStr">
        <is>
          <t>SKARA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23457-2026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46163</v>
      </c>
      <c r="E182" s="1" t="n">
        <v>46221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35217-2023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46221</v>
      </c>
      <c r="F183" t="inlineStr">
        <is>
          <t>VÄSTRA GÖTALANDS LÄN</t>
        </is>
      </c>
      <c r="G183" t="inlineStr">
        <is>
          <t>SKARA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20470-2024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45435</v>
      </c>
      <c r="E184" s="1" t="n">
        <v>46221</v>
      </c>
      <c r="F184" t="inlineStr">
        <is>
          <t>VÄSTRA GÖTALANDS LÄN</t>
        </is>
      </c>
      <c r="G184" t="inlineStr">
        <is>
          <t>SKARA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23452-2026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46163</v>
      </c>
      <c r="E185" s="1" t="n">
        <v>46221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Sveaskog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24142-2026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46168</v>
      </c>
      <c r="E186" s="1" t="n">
        <v>46221</v>
      </c>
      <c r="F186" t="inlineStr">
        <is>
          <t>VÄSTRA GÖTALANDS LÄN</t>
        </is>
      </c>
      <c r="G186" t="inlineStr">
        <is>
          <t>SKARA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24143-2026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46168</v>
      </c>
      <c r="E187" s="1" t="n">
        <v>46221</v>
      </c>
      <c r="F187" t="inlineStr">
        <is>
          <t>VÄSTRA GÖTALANDS LÄN</t>
        </is>
      </c>
      <c r="G187" t="inlineStr">
        <is>
          <t>SKARA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43564-2021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44433</v>
      </c>
      <c r="E188" s="1" t="n">
        <v>46221</v>
      </c>
      <c r="F188" t="inlineStr">
        <is>
          <t>VÄSTRA GÖTALANDS LÄN</t>
        </is>
      </c>
      <c r="G188" t="inlineStr">
        <is>
          <t>SKARA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12889-2022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44642</v>
      </c>
      <c r="E189" s="1" t="n">
        <v>46221</v>
      </c>
      <c r="F189" t="inlineStr">
        <is>
          <t>VÄSTRA GÖTALANDS LÄN</t>
        </is>
      </c>
      <c r="G189" t="inlineStr">
        <is>
          <t>SKARA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26268-2023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45091</v>
      </c>
      <c r="E190" s="1" t="n">
        <v>46221</v>
      </c>
      <c r="F190" t="inlineStr">
        <is>
          <t>VÄSTRA GÖTALANDS LÄN</t>
        </is>
      </c>
      <c r="G190" t="inlineStr">
        <is>
          <t>SKARA</t>
        </is>
      </c>
      <c r="I190" t="n">
        <v>21.6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24145-2026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46168</v>
      </c>
      <c r="E191" s="1" t="n">
        <v>46221</v>
      </c>
      <c r="F191" t="inlineStr">
        <is>
          <t>VÄSTRA GÖTALANDS LÄN</t>
        </is>
      </c>
      <c r="G191" t="inlineStr">
        <is>
          <t>SKARA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52381-2023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45224</v>
      </c>
      <c r="E192" s="1" t="n">
        <v>46221</v>
      </c>
      <c r="F192" t="inlineStr">
        <is>
          <t>VÄSTRA GÖTALANDS LÄN</t>
        </is>
      </c>
      <c r="G192" t="inlineStr">
        <is>
          <t>SKARA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37460-2023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45156</v>
      </c>
      <c r="E193" s="1" t="n">
        <v>46221</v>
      </c>
      <c r="F193" t="inlineStr">
        <is>
          <t>VÄSTRA GÖTALANDS LÄN</t>
        </is>
      </c>
      <c r="G193" t="inlineStr">
        <is>
          <t>SKARA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24144-2026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46168</v>
      </c>
      <c r="E194" s="1" t="n">
        <v>46221</v>
      </c>
      <c r="F194" t="inlineStr">
        <is>
          <t>VÄSTRA GÖTALANDS LÄN</t>
        </is>
      </c>
      <c r="G194" t="inlineStr">
        <is>
          <t>SKARA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29478-2026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46203</v>
      </c>
      <c r="E195" s="1" t="n">
        <v>46221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Kyrkan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55202-2024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46221</v>
      </c>
      <c r="F196" t="inlineStr">
        <is>
          <t>VÄSTRA GÖTALANDS LÄN</t>
        </is>
      </c>
      <c r="G196" t="inlineStr">
        <is>
          <t>SKARA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55211-2024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46221</v>
      </c>
      <c r="F197" t="inlineStr">
        <is>
          <t>VÄSTRA GÖTALANDS LÄN</t>
        </is>
      </c>
      <c r="G197" t="inlineStr">
        <is>
          <t>SKARA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45299</v>
      </c>
      <c r="E198" s="1" t="n">
        <v>46221</v>
      </c>
      <c r="F198" t="inlineStr">
        <is>
          <t>VÄSTRA GÖTALANDS LÄN</t>
        </is>
      </c>
      <c r="G198" t="inlineStr">
        <is>
          <t>SKARA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8781-2024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45356</v>
      </c>
      <c r="E199" s="1" t="n">
        <v>46221</v>
      </c>
      <c r="F199" t="inlineStr">
        <is>
          <t>VÄSTRA GÖTALANDS LÄN</t>
        </is>
      </c>
      <c r="G199" t="inlineStr">
        <is>
          <t>SKARA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55247-2022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46221</v>
      </c>
      <c r="F200" t="inlineStr">
        <is>
          <t>VÄSTRA GÖTALANDS LÄN</t>
        </is>
      </c>
      <c r="G200" t="inlineStr">
        <is>
          <t>SKARA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27668-2022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44743</v>
      </c>
      <c r="E201" s="1" t="n">
        <v>46221</v>
      </c>
      <c r="F201" t="inlineStr">
        <is>
          <t>VÄSTRA GÖTALANDS LÄN</t>
        </is>
      </c>
      <c r="G201" t="inlineStr">
        <is>
          <t>SKARA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56922-2024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45628</v>
      </c>
      <c r="E202" s="1" t="n">
        <v>46221</v>
      </c>
      <c r="F202" t="inlineStr">
        <is>
          <t>VÄSTRA GÖTALANDS LÄN</t>
        </is>
      </c>
      <c r="G202" t="inlineStr">
        <is>
          <t>SKARA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8701-2023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44978</v>
      </c>
      <c r="E203" s="1" t="n">
        <v>46221</v>
      </c>
      <c r="F203" t="inlineStr">
        <is>
          <t>VÄSTRA GÖTALANDS LÄN</t>
        </is>
      </c>
      <c r="G203" t="inlineStr">
        <is>
          <t>SKARA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17705-2025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45758</v>
      </c>
      <c r="E204" s="1" t="n">
        <v>46221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17709-2025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45758</v>
      </c>
      <c r="E205" s="1" t="n">
        <v>46221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2590-2024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45313</v>
      </c>
      <c r="E206" s="1" t="n">
        <v>46221</v>
      </c>
      <c r="F206" t="inlineStr">
        <is>
          <t>VÄSTRA GÖTALANDS LÄN</t>
        </is>
      </c>
      <c r="G206" t="inlineStr">
        <is>
          <t>SKARA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59841-2024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45639</v>
      </c>
      <c r="E207" s="1" t="n">
        <v>46221</v>
      </c>
      <c r="F207" t="inlineStr">
        <is>
          <t>VÄSTRA GÖTALANDS LÄN</t>
        </is>
      </c>
      <c r="G207" t="inlineStr">
        <is>
          <t>SKARA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49435-2024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45595</v>
      </c>
      <c r="E208" s="1" t="n">
        <v>46221</v>
      </c>
      <c r="F208" t="inlineStr">
        <is>
          <t>VÄSTRA GÖTALANDS LÄN</t>
        </is>
      </c>
      <c r="G208" t="inlineStr">
        <is>
          <t>SKARA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58683-2024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46221</v>
      </c>
      <c r="F209" t="inlineStr">
        <is>
          <t>VÄSTRA GÖTALANDS LÄN</t>
        </is>
      </c>
      <c r="G209" t="inlineStr">
        <is>
          <t>SKARA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25219-2025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45800</v>
      </c>
      <c r="E210" s="1" t="n">
        <v>46221</v>
      </c>
      <c r="F210" t="inlineStr">
        <is>
          <t>VÄSTRA GÖTALANDS LÄN</t>
        </is>
      </c>
      <c r="G210" t="inlineStr">
        <is>
          <t>SKARA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46221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46221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2026-07-18T01:21:02Z</dcterms:created>
  <dcterms:modified xmlns:dcterms="http://purl.org/dc/terms/" xmlns:xsi="http://www.w3.org/2001/XMLSchema-instance" xsi:type="dcterms:W3CDTF">2026-07-18T01:21:02Z</dcterms:modified>
</cp:coreProperties>
</file>