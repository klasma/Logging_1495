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46283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46283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46283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46283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46283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46283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46283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46283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46283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46283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19729-2026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46283</v>
      </c>
      <c r="F14" t="inlineStr">
        <is>
          <t>VÄSTRA GÖTALANDS LÄN</t>
        </is>
      </c>
      <c r="G14" t="inlineStr">
        <is>
          <t>SKARA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HYPERLINK("https://klasma.github.io/Logging_1495/artfynd/A 19729-2026 artfynd.xlsx", "A 19729-2026")</f>
        <v/>
      </c>
      <c r="X14">
        <f>HYPERLINK("https://klasma.github.io/Logging_1495/kartor/A 19729-2026 karta.png", "A 19729-2026")</f>
        <v/>
      </c>
      <c r="Y14">
        <f>HYPERLINK("https://klasma.github.io/Logging_1495/kartor_geotiff/A 19729-2026 georefererad karta.tif", "A 19729-2026")</f>
        <v/>
      </c>
      <c r="AA14">
        <f>HYPERLINK("https://klasma.github.io/Logging_1495/klagomål/A 19729-2026 FSC-klagomål.docx", "A 19729-2026")</f>
        <v/>
      </c>
      <c r="AB14">
        <f>HYPERLINK("https://klasma.github.io/Logging_1495/klagomålsmail/A 19729-2026 FSC-klagomål mail.docx", "A 19729-2026")</f>
        <v/>
      </c>
      <c r="AC14">
        <f>HYPERLINK("https://klasma.github.io/Logging_1495/tillsyn/A 19729-2026 tillsynsbegäran.docx", "A 19729-2026")</f>
        <v/>
      </c>
      <c r="AD14">
        <f>HYPERLINK("https://klasma.github.io/Logging_1495/tillsynsmail/A 19729-2026 tillsynsbegäran mail.docx", "A 19729-2026")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46283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46283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55928-2025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46283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5.1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Motaggsvamp</t>
        </is>
      </c>
      <c r="W17">
        <f>HYPERLINK("https://klasma.github.io/Logging_1495/artfynd/A 55928-2025 artfynd.xlsx", "A 55928-2025")</f>
        <v/>
      </c>
      <c r="X17">
        <f>HYPERLINK("https://klasma.github.io/Logging_1495/kartor/A 55928-2025 karta.png", "A 55928-2025")</f>
        <v/>
      </c>
      <c r="Y17">
        <f>HYPERLINK("https://klasma.github.io/Logging_1495/kartor_geotiff/A 55928-2025 georefererad karta.tif", "A 55928-2025")</f>
        <v/>
      </c>
      <c r="AA17">
        <f>HYPERLINK("https://klasma.github.io/Logging_1495/klagomål/A 55928-2025 FSC-klagomål.docx", "A 55928-2025")</f>
        <v/>
      </c>
      <c r="AB17">
        <f>HYPERLINK("https://klasma.github.io/Logging_1495/klagomålsmail/A 55928-2025 FSC-klagomål mail.docx", "A 55928-2025")</f>
        <v/>
      </c>
      <c r="AC17">
        <f>HYPERLINK("https://klasma.github.io/Logging_1495/tillsyn/A 55928-2025 tillsynsbegäran.docx", "A 55928-2025")</f>
        <v/>
      </c>
      <c r="AD17">
        <f>HYPERLINK("https://klasma.github.io/Logging_1495/tillsynsmail/A 55928-2025 tillsynsbegäran mail.docx", "A 55928-2025")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46283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46283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A 36670-2026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46272</v>
      </c>
      <c r="E20" s="1" t="n">
        <v>46283</v>
      </c>
      <c r="F20" t="inlineStr">
        <is>
          <t>VÄSTRA GÖTALANDS LÄN</t>
        </is>
      </c>
      <c r="G20" t="inlineStr">
        <is>
          <t>SKARA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Almrostöra</t>
        </is>
      </c>
      <c r="W20">
        <f>HYPERLINK("https://klasma.github.io/Logging_1495/artfynd/A 36670-2026 artfynd.xlsx", "A 36670-2026")</f>
        <v/>
      </c>
      <c r="X20">
        <f>HYPERLINK("https://klasma.github.io/Logging_1495/kartor/A 36670-2026 karta.png", "A 36670-2026")</f>
        <v/>
      </c>
      <c r="Y20">
        <f>HYPERLINK("https://klasma.github.io/Logging_1495/kartor_geotiff/A 36670-2026 georefererad karta.tif", "A 36670-2026")</f>
        <v/>
      </c>
      <c r="AA20">
        <f>HYPERLINK("https://klasma.github.io/Logging_1495/klagomål/A 36670-2026 FSC-klagomål.docx", "A 36670-2026")</f>
        <v/>
      </c>
      <c r="AB20">
        <f>HYPERLINK("https://klasma.github.io/Logging_1495/klagomålsmail/A 36670-2026 FSC-klagomål mail.docx", "A 36670-2026")</f>
        <v/>
      </c>
      <c r="AC20">
        <f>HYPERLINK("https://klasma.github.io/Logging_1495/tillsyn/A 36670-2026 tillsynsbegäran.docx", "A 36670-2026")</f>
        <v/>
      </c>
      <c r="AD20">
        <f>HYPERLINK("https://klasma.github.io/Logging_1495/tillsynsmail/A 36670-2026 tillsynsbegäran mail.docx", "A 36670-2026")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46283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46283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46283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46283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46283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46283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46283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46283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46283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46283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46283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46283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46283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46283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46283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46283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46283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46283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46283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46283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46283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46283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46283</v>
      </c>
      <c r="F43" t="inlineStr">
        <is>
          <t>VÄSTRA GÖTALANDS LÄN</t>
        </is>
      </c>
      <c r="G43" t="inlineStr">
        <is>
          <t>SKARA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46283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46283</v>
      </c>
      <c r="F45" t="inlineStr">
        <is>
          <t>VÄSTRA GÖTALANDS LÄN</t>
        </is>
      </c>
      <c r="G45" t="inlineStr">
        <is>
          <t>SKARA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65124-2023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45288</v>
      </c>
      <c r="E46" s="1" t="n">
        <v>46283</v>
      </c>
      <c r="F46" t="inlineStr">
        <is>
          <t>VÄSTRA GÖTALANDS LÄN</t>
        </is>
      </c>
      <c r="G46" t="inlineStr">
        <is>
          <t>SKARA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46283</v>
      </c>
      <c r="F47" t="inlineStr">
        <is>
          <t>VÄSTRA GÖTALANDS LÄN</t>
        </is>
      </c>
      <c r="G47" t="inlineStr">
        <is>
          <t>SKARA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46283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46283</v>
      </c>
      <c r="F49" t="inlineStr">
        <is>
          <t>VÄSTRA GÖTALANDS LÄN</t>
        </is>
      </c>
      <c r="G49" t="inlineStr">
        <is>
          <t>SKARA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46283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46283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44587</v>
      </c>
      <c r="E52" s="1" t="n">
        <v>46283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46283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45408</v>
      </c>
      <c r="E54" s="1" t="n">
        <v>46283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3144-2023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44946</v>
      </c>
      <c r="E55" s="1" t="n">
        <v>46283</v>
      </c>
      <c r="F55" t="inlineStr">
        <is>
          <t>VÄSTRA GÖTALANDS LÄN</t>
        </is>
      </c>
      <c r="G55" t="inlineStr">
        <is>
          <t>SKARA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46283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46283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46072</v>
      </c>
      <c r="E58" s="1" t="n">
        <v>46283</v>
      </c>
      <c r="F58" t="inlineStr">
        <is>
          <t>VÄSTRA GÖTALANDS LÄN</t>
        </is>
      </c>
      <c r="G58" t="inlineStr">
        <is>
          <t>SKARA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7946-2023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44973</v>
      </c>
      <c r="E59" s="1" t="n">
        <v>46283</v>
      </c>
      <c r="F59" t="inlineStr">
        <is>
          <t>VÄSTRA GÖTALANDS LÄN</t>
        </is>
      </c>
      <c r="G59" t="inlineStr">
        <is>
          <t>SKARA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46283</v>
      </c>
      <c r="F60" t="inlineStr">
        <is>
          <t>VÄSTRA GÖTALANDS LÄN</t>
        </is>
      </c>
      <c r="G60" t="inlineStr">
        <is>
          <t>SKARA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45554</v>
      </c>
      <c r="E61" s="1" t="n">
        <v>46283</v>
      </c>
      <c r="F61" t="inlineStr">
        <is>
          <t>VÄSTRA GÖTALANDS LÄN</t>
        </is>
      </c>
      <c r="G61" t="inlineStr">
        <is>
          <t>SKARA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32844-2025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45839</v>
      </c>
      <c r="E62" s="1" t="n">
        <v>46283</v>
      </c>
      <c r="F62" t="inlineStr">
        <is>
          <t>VÄSTRA GÖTALANDS LÄN</t>
        </is>
      </c>
      <c r="G62" t="inlineStr">
        <is>
          <t>SKARA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45839</v>
      </c>
      <c r="E63" s="1" t="n">
        <v>46283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46283</v>
      </c>
      <c r="F64" t="inlineStr">
        <is>
          <t>VÄSTRA GÖTALANDS LÄN</t>
        </is>
      </c>
      <c r="G64" t="inlineStr">
        <is>
          <t>SKARA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46087</v>
      </c>
      <c r="E65" s="1" t="n">
        <v>46283</v>
      </c>
      <c r="F65" t="inlineStr">
        <is>
          <t>VÄSTRA GÖTALANDS LÄN</t>
        </is>
      </c>
      <c r="G65" t="inlineStr">
        <is>
          <t>SKARA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46283</v>
      </c>
      <c r="F66" t="inlineStr">
        <is>
          <t>VÄSTRA GÖTALANDS LÄN</t>
        </is>
      </c>
      <c r="G66" t="inlineStr">
        <is>
          <t>SKARA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45840</v>
      </c>
      <c r="E67" s="1" t="n">
        <v>46283</v>
      </c>
      <c r="F67" t="inlineStr">
        <is>
          <t>VÄSTRA GÖTALANDS LÄN</t>
        </is>
      </c>
      <c r="G67" t="inlineStr">
        <is>
          <t>SKARA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13276-2026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46283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45874</v>
      </c>
      <c r="E69" s="1" t="n">
        <v>46283</v>
      </c>
      <c r="F69" t="inlineStr">
        <is>
          <t>VÄSTRA GÖTALANDS LÄN</t>
        </is>
      </c>
      <c r="G69" t="inlineStr">
        <is>
          <t>SKARA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13063-2026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46283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44894</v>
      </c>
      <c r="E71" s="1" t="n">
        <v>46283</v>
      </c>
      <c r="F71" t="inlineStr">
        <is>
          <t>VÄSTRA GÖTALANDS LÄN</t>
        </is>
      </c>
      <c r="G71" t="inlineStr">
        <is>
          <t>SKARA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45713</v>
      </c>
      <c r="E72" s="1" t="n">
        <v>46283</v>
      </c>
      <c r="F72" t="inlineStr">
        <is>
          <t>VÄSTRA GÖTALANDS LÄN</t>
        </is>
      </c>
      <c r="G72" t="inlineStr">
        <is>
          <t>SKARA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20721-2025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46283</v>
      </c>
      <c r="F73" t="inlineStr">
        <is>
          <t>VÄSTRA GÖTALANDS LÄN</t>
        </is>
      </c>
      <c r="G73" t="inlineStr">
        <is>
          <t>SKARA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46101</v>
      </c>
      <c r="E74" s="1" t="n">
        <v>46283</v>
      </c>
      <c r="F74" t="inlineStr">
        <is>
          <t>VÄSTRA GÖTALANDS LÄN</t>
        </is>
      </c>
      <c r="G74" t="inlineStr">
        <is>
          <t>SKARA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46101</v>
      </c>
      <c r="E75" s="1" t="n">
        <v>46283</v>
      </c>
      <c r="F75" t="inlineStr">
        <is>
          <t>VÄSTRA GÖTALANDS LÄN</t>
        </is>
      </c>
      <c r="G75" t="inlineStr">
        <is>
          <t>SKARA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14422-2026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46283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44687</v>
      </c>
      <c r="E77" s="1" t="n">
        <v>46283</v>
      </c>
      <c r="F77" t="inlineStr">
        <is>
          <t>VÄSTRA GÖTALANDS LÄN</t>
        </is>
      </c>
      <c r="G77" t="inlineStr">
        <is>
          <t>SKARA</t>
        </is>
      </c>
      <c r="H77" t="inlineStr">
        <is>
          <t>Kommuner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60233-2023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45258</v>
      </c>
      <c r="E78" s="1" t="n">
        <v>46283</v>
      </c>
      <c r="F78" t="inlineStr">
        <is>
          <t>VÄSTRA GÖTALANDS LÄN</t>
        </is>
      </c>
      <c r="G78" t="inlineStr">
        <is>
          <t>SKARA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28073-2023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46283</v>
      </c>
      <c r="F79" t="inlineStr">
        <is>
          <t>VÄSTRA GÖTALANDS LÄN</t>
        </is>
      </c>
      <c r="G79" t="inlineStr">
        <is>
          <t>SKARA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46283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60840-2021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46283</v>
      </c>
      <c r="F81" t="inlineStr">
        <is>
          <t>VÄSTRA GÖTALANDS LÄN</t>
        </is>
      </c>
      <c r="G81" t="inlineStr">
        <is>
          <t>SKARA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46283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44957</v>
      </c>
      <c r="E83" s="1" t="n">
        <v>46283</v>
      </c>
      <c r="F83" t="inlineStr">
        <is>
          <t>VÄSTRA GÖTALANDS LÄN</t>
        </is>
      </c>
      <c r="G83" t="inlineStr">
        <is>
          <t>SKARA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46283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46283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45889</v>
      </c>
      <c r="E86" s="1" t="n">
        <v>46283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45889</v>
      </c>
      <c r="E87" s="1" t="n">
        <v>46283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16085-2026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46108</v>
      </c>
      <c r="E88" s="1" t="n">
        <v>46283</v>
      </c>
      <c r="F88" t="inlineStr">
        <is>
          <t>VÄSTRA GÖTALANDS LÄN</t>
        </is>
      </c>
      <c r="G88" t="inlineStr">
        <is>
          <t>SKARA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46283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46283</v>
      </c>
      <c r="F90" t="inlineStr">
        <is>
          <t>VÄSTRA GÖTALANDS LÄN</t>
        </is>
      </c>
      <c r="G90" t="inlineStr">
        <is>
          <t>SKARA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16201-2026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46283</v>
      </c>
      <c r="F91" t="inlineStr">
        <is>
          <t>VÄSTRA GÖTALANDS LÄN</t>
        </is>
      </c>
      <c r="G91" t="inlineStr">
        <is>
          <t>SKARA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46283</v>
      </c>
      <c r="F92" t="inlineStr">
        <is>
          <t>VÄSTRA GÖTALANDS LÄN</t>
        </is>
      </c>
      <c r="G92" t="inlineStr">
        <is>
          <t>SKARA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16198-2026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46283</v>
      </c>
      <c r="F93" t="inlineStr">
        <is>
          <t>VÄSTRA GÖTALANDS LÄN</t>
        </is>
      </c>
      <c r="G93" t="inlineStr">
        <is>
          <t>SKARA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46113</v>
      </c>
      <c r="E94" s="1" t="n">
        <v>46283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45642</v>
      </c>
      <c r="E95" s="1" t="n">
        <v>46283</v>
      </c>
      <c r="F95" t="inlineStr">
        <is>
          <t>VÄSTRA GÖTALANDS LÄN</t>
        </is>
      </c>
      <c r="G95" t="inlineStr">
        <is>
          <t>SKARA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46283</v>
      </c>
      <c r="F96" t="inlineStr">
        <is>
          <t>VÄSTRA GÖTALANDS LÄN</t>
        </is>
      </c>
      <c r="G96" t="inlineStr">
        <is>
          <t>SKARA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46283</v>
      </c>
      <c r="F97" t="inlineStr">
        <is>
          <t>VÄSTRA GÖTALANDS LÄN</t>
        </is>
      </c>
      <c r="G97" t="inlineStr">
        <is>
          <t>SKARA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32668-2024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45514</v>
      </c>
      <c r="E98" s="1" t="n">
        <v>46283</v>
      </c>
      <c r="F98" t="inlineStr">
        <is>
          <t>VÄSTRA GÖTALANDS LÄN</t>
        </is>
      </c>
      <c r="G98" t="inlineStr">
        <is>
          <t>SKARA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46283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31128-2023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46283</v>
      </c>
      <c r="F100" t="inlineStr">
        <is>
          <t>VÄSTRA GÖTALANDS LÄN</t>
        </is>
      </c>
      <c r="G100" t="inlineStr">
        <is>
          <t>SKARA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18890-2026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46283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46283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46283</v>
      </c>
      <c r="F103" t="inlineStr">
        <is>
          <t>VÄSTRA GÖTALANDS LÄN</t>
        </is>
      </c>
      <c r="G103" t="inlineStr">
        <is>
          <t>SKARA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44990</v>
      </c>
      <c r="E104" s="1" t="n">
        <v>46283</v>
      </c>
      <c r="F104" t="inlineStr">
        <is>
          <t>VÄSTRA GÖTALANDS LÄN</t>
        </is>
      </c>
      <c r="G104" t="inlineStr">
        <is>
          <t>SKARA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46283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46283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42874-2022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44832</v>
      </c>
      <c r="E107" s="1" t="n">
        <v>46283</v>
      </c>
      <c r="F107" t="inlineStr">
        <is>
          <t>VÄSTRA GÖTALANDS LÄN</t>
        </is>
      </c>
      <c r="G107" t="inlineStr">
        <is>
          <t>SKARA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45091</v>
      </c>
      <c r="E108" s="1" t="n">
        <v>46283</v>
      </c>
      <c r="F108" t="inlineStr">
        <is>
          <t>VÄSTRA GÖTALANDS LÄN</t>
        </is>
      </c>
      <c r="G108" t="inlineStr">
        <is>
          <t>SKARA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46283</v>
      </c>
      <c r="F109" t="inlineStr">
        <is>
          <t>VÄSTRA GÖTALANDS LÄN</t>
        </is>
      </c>
      <c r="G109" t="inlineStr">
        <is>
          <t>SKARA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45667</v>
      </c>
      <c r="E110" s="1" t="n">
        <v>46283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45924</v>
      </c>
      <c r="E111" s="1" t="n">
        <v>46283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45288</v>
      </c>
      <c r="E112" s="1" t="n">
        <v>46283</v>
      </c>
      <c r="F112" t="inlineStr">
        <is>
          <t>VÄSTRA GÖTALANDS LÄN</t>
        </is>
      </c>
      <c r="G112" t="inlineStr">
        <is>
          <t>SKARA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45110</v>
      </c>
      <c r="E113" s="1" t="n">
        <v>46283</v>
      </c>
      <c r="F113" t="inlineStr">
        <is>
          <t>VÄSTRA GÖTALANDS LÄN</t>
        </is>
      </c>
      <c r="G113" t="inlineStr">
        <is>
          <t>SKARA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45800</v>
      </c>
      <c r="E114" s="1" t="n">
        <v>46283</v>
      </c>
      <c r="F114" t="inlineStr">
        <is>
          <t>VÄSTRA GÖTALANDS LÄN</t>
        </is>
      </c>
      <c r="G114" t="inlineStr">
        <is>
          <t>SKARA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46283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45924</v>
      </c>
      <c r="E116" s="1" t="n">
        <v>46283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46283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45043</v>
      </c>
      <c r="E118" s="1" t="n">
        <v>46283</v>
      </c>
      <c r="F118" t="inlineStr">
        <is>
          <t>VÄSTRA GÖTALANDS LÄN</t>
        </is>
      </c>
      <c r="G118" t="inlineStr">
        <is>
          <t>SKARA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46283</v>
      </c>
      <c r="F119" t="inlineStr">
        <is>
          <t>VÄSTRA GÖTALANDS LÄN</t>
        </is>
      </c>
      <c r="G119" t="inlineStr">
        <is>
          <t>SKARA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45492</v>
      </c>
      <c r="E120" s="1" t="n">
        <v>46283</v>
      </c>
      <c r="F120" t="inlineStr">
        <is>
          <t>VÄSTRA GÖTALANDS LÄN</t>
        </is>
      </c>
      <c r="G120" t="inlineStr">
        <is>
          <t>SKARA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44908</v>
      </c>
      <c r="E121" s="1" t="n">
        <v>46283</v>
      </c>
      <c r="F121" t="inlineStr">
        <is>
          <t>VÄSTRA GÖTALANDS LÄN</t>
        </is>
      </c>
      <c r="G121" t="inlineStr">
        <is>
          <t>SKARA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47010-2025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46283</v>
      </c>
      <c r="F122" t="inlineStr">
        <is>
          <t>VÄSTRA GÖTALANDS LÄN</t>
        </is>
      </c>
      <c r="G122" t="inlineStr">
        <is>
          <t>SKARA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45110</v>
      </c>
      <c r="E123" s="1" t="n">
        <v>46283</v>
      </c>
      <c r="F123" t="inlineStr">
        <is>
          <t>VÄSTRA GÖTALANDS LÄN</t>
        </is>
      </c>
      <c r="G123" t="inlineStr">
        <is>
          <t>SKARA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46283</v>
      </c>
      <c r="F124" t="inlineStr">
        <is>
          <t>VÄSTRA GÖTALANDS LÄN</t>
        </is>
      </c>
      <c r="G124" t="inlineStr">
        <is>
          <t>SKARA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36045-2023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45149</v>
      </c>
      <c r="E125" s="1" t="n">
        <v>46283</v>
      </c>
      <c r="F125" t="inlineStr">
        <is>
          <t>VÄSTRA GÖTALANDS LÄN</t>
        </is>
      </c>
      <c r="G125" t="inlineStr">
        <is>
          <t>SKARA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30019-2023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45109</v>
      </c>
      <c r="E126" s="1" t="n">
        <v>46283</v>
      </c>
      <c r="F126" t="inlineStr">
        <is>
          <t>VÄSTRA GÖTALANDS LÄN</t>
        </is>
      </c>
      <c r="G126" t="inlineStr">
        <is>
          <t>SKARA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46283</v>
      </c>
      <c r="F127" t="inlineStr">
        <is>
          <t>VÄSTRA GÖTALANDS LÄN</t>
        </is>
      </c>
      <c r="G127" t="inlineStr">
        <is>
          <t>SKARA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46283</v>
      </c>
      <c r="F128" t="inlineStr">
        <is>
          <t>VÄSTRA GÖTALANDS LÄN</t>
        </is>
      </c>
      <c r="G128" t="inlineStr">
        <is>
          <t>SKARA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46283</v>
      </c>
      <c r="F129" t="inlineStr">
        <is>
          <t>VÄSTRA GÖTALANDS LÄN</t>
        </is>
      </c>
      <c r="G129" t="inlineStr">
        <is>
          <t>SKARA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30479-2023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46283</v>
      </c>
      <c r="F130" t="inlineStr">
        <is>
          <t>VÄSTRA GÖTALANDS LÄN</t>
        </is>
      </c>
      <c r="G130" t="inlineStr">
        <is>
          <t>SKARA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23457-2026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46163</v>
      </c>
      <c r="E131" s="1" t="n">
        <v>46283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46163</v>
      </c>
      <c r="E132" s="1" t="n">
        <v>46283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46283</v>
      </c>
      <c r="F133" t="inlineStr">
        <is>
          <t>VÄSTRA GÖTALANDS LÄN</t>
        </is>
      </c>
      <c r="G133" t="inlineStr">
        <is>
          <t>SKARA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46168</v>
      </c>
      <c r="E134" s="1" t="n">
        <v>46283</v>
      </c>
      <c r="F134" t="inlineStr">
        <is>
          <t>VÄSTRA GÖTALANDS LÄN</t>
        </is>
      </c>
      <c r="G134" t="inlineStr">
        <is>
          <t>SKARA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46283</v>
      </c>
      <c r="F135" t="inlineStr">
        <is>
          <t>VÄSTRA GÖTALANDS LÄN</t>
        </is>
      </c>
      <c r="G135" t="inlineStr">
        <is>
          <t>SKARA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46283</v>
      </c>
      <c r="F136" t="inlineStr">
        <is>
          <t>VÄSTRA GÖTALANDS LÄN</t>
        </is>
      </c>
      <c r="G136" t="inlineStr">
        <is>
          <t>SKARA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45492</v>
      </c>
      <c r="E137" s="1" t="n">
        <v>46283</v>
      </c>
      <c r="F137" t="inlineStr">
        <is>
          <t>VÄSTRA GÖTALANDS LÄN</t>
        </is>
      </c>
      <c r="G137" t="inlineStr">
        <is>
          <t>SKARA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46283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46283</v>
      </c>
      <c r="F139" t="inlineStr">
        <is>
          <t>VÄSTRA GÖTALANDS LÄN</t>
        </is>
      </c>
      <c r="G139" t="inlineStr">
        <is>
          <t>SKARA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41602-2023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46283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Kommuner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46283</v>
      </c>
      <c r="F141" t="inlineStr">
        <is>
          <t>VÄSTRA GÖTALANDS LÄN</t>
        </is>
      </c>
      <c r="G141" t="inlineStr">
        <is>
          <t>SKARA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45462</v>
      </c>
      <c r="E142" s="1" t="n">
        <v>46283</v>
      </c>
      <c r="F142" t="inlineStr">
        <is>
          <t>VÄSTRA GÖTALANDS LÄN</t>
        </is>
      </c>
      <c r="G142" t="inlineStr">
        <is>
          <t>SKARA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26480-2024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45469</v>
      </c>
      <c r="E143" s="1" t="n">
        <v>46283</v>
      </c>
      <c r="F143" t="inlineStr">
        <is>
          <t>VÄSTRA GÖTALANDS LÄN</t>
        </is>
      </c>
      <c r="G143" t="inlineStr">
        <is>
          <t>SKARA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45469</v>
      </c>
      <c r="E144" s="1" t="n">
        <v>46283</v>
      </c>
      <c r="F144" t="inlineStr">
        <is>
          <t>VÄSTRA GÖTALANDS LÄN</t>
        </is>
      </c>
      <c r="G144" t="inlineStr">
        <is>
          <t>SKARA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46182</v>
      </c>
      <c r="E145" s="1" t="n">
        <v>46283</v>
      </c>
      <c r="F145" t="inlineStr">
        <is>
          <t>VÄSTRA GÖTALANDS LÄN</t>
        </is>
      </c>
      <c r="G145" t="inlineStr">
        <is>
          <t>SKARA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46283</v>
      </c>
      <c r="F146" t="inlineStr">
        <is>
          <t>VÄSTRA GÖTALANDS LÄN</t>
        </is>
      </c>
      <c r="G146" t="inlineStr">
        <is>
          <t>SKARA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27478-2026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46189</v>
      </c>
      <c r="E147" s="1" t="n">
        <v>46283</v>
      </c>
      <c r="F147" t="inlineStr">
        <is>
          <t>VÄSTRA GÖTALANDS LÄN</t>
        </is>
      </c>
      <c r="G147" t="inlineStr">
        <is>
          <t>SKARA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53527-2025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46283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Kyrkan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46283</v>
      </c>
      <c r="F149" t="inlineStr">
        <is>
          <t>VÄSTRA GÖTALANDS LÄN</t>
        </is>
      </c>
      <c r="G149" t="inlineStr">
        <is>
          <t>SKARA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46283</v>
      </c>
      <c r="F150" t="inlineStr">
        <is>
          <t>VÄSTRA GÖTALANDS LÄN</t>
        </is>
      </c>
      <c r="G150" t="inlineStr">
        <is>
          <t>SKARA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46283</v>
      </c>
      <c r="F151" t="inlineStr">
        <is>
          <t>VÄSTRA GÖTALANDS LÄN</t>
        </is>
      </c>
      <c r="G151" t="inlineStr">
        <is>
          <t>SKARA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45091</v>
      </c>
      <c r="E152" s="1" t="n">
        <v>46283</v>
      </c>
      <c r="F152" t="inlineStr">
        <is>
          <t>VÄSTRA GÖTALANDS LÄN</t>
        </is>
      </c>
      <c r="G152" t="inlineStr">
        <is>
          <t>SKARA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56274-2025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46283</v>
      </c>
      <c r="F153" t="inlineStr">
        <is>
          <t>VÄSTRA GÖTALANDS LÄN</t>
        </is>
      </c>
      <c r="G153" t="inlineStr">
        <is>
          <t>SKARA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33219-2026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46246</v>
      </c>
      <c r="E154" s="1" t="n">
        <v>46283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46246</v>
      </c>
      <c r="E155" s="1" t="n">
        <v>46283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Kyrkan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33469-2026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46247</v>
      </c>
      <c r="E156" s="1" t="n">
        <v>46283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46283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46283</v>
      </c>
      <c r="F158" t="inlineStr">
        <is>
          <t>VÄSTRA GÖTALANDS LÄN</t>
        </is>
      </c>
      <c r="G158" t="inlineStr">
        <is>
          <t>SKARA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46283</v>
      </c>
      <c r="F159" t="inlineStr">
        <is>
          <t>VÄSTRA GÖTALANDS LÄN</t>
        </is>
      </c>
      <c r="G159" t="inlineStr">
        <is>
          <t>SKARA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46283</v>
      </c>
      <c r="F160" t="inlineStr">
        <is>
          <t>VÄSTRA GÖTALANDS LÄN</t>
        </is>
      </c>
      <c r="G160" t="inlineStr">
        <is>
          <t>SKARA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46283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46283</v>
      </c>
      <c r="F162" t="inlineStr">
        <is>
          <t>VÄSTRA GÖTALANDS LÄN</t>
        </is>
      </c>
      <c r="G162" t="inlineStr">
        <is>
          <t>SKARA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46203</v>
      </c>
      <c r="E163" s="1" t="n">
        <v>46283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Kyrkan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24144-2026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46283</v>
      </c>
      <c r="F164" t="inlineStr">
        <is>
          <t>VÄSTRA GÖTALANDS LÄN</t>
        </is>
      </c>
      <c r="G164" t="inlineStr">
        <is>
          <t>SKARA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45313</v>
      </c>
      <c r="E165" s="1" t="n">
        <v>46283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45448</v>
      </c>
      <c r="E166" s="1" t="n">
        <v>46283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46283</v>
      </c>
      <c r="F167" t="inlineStr">
        <is>
          <t>VÄSTRA GÖTALANDS LÄN</t>
        </is>
      </c>
      <c r="G167" t="inlineStr">
        <is>
          <t>SKARA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18701-2022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44687</v>
      </c>
      <c r="E168" s="1" t="n">
        <v>46283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46283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45196</v>
      </c>
      <c r="E170" s="1" t="n">
        <v>46283</v>
      </c>
      <c r="F170" t="inlineStr">
        <is>
          <t>VÄSTRA GÖTALANDS LÄN</t>
        </is>
      </c>
      <c r="G170" t="inlineStr">
        <is>
          <t>SKARA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46283</v>
      </c>
      <c r="F171" t="inlineStr">
        <is>
          <t>VÄSTRA GÖTALANDS LÄN</t>
        </is>
      </c>
      <c r="G171" t="inlineStr">
        <is>
          <t>SKARA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46283</v>
      </c>
      <c r="F172" t="inlineStr">
        <is>
          <t>VÄSTRA GÖTALANDS LÄN</t>
        </is>
      </c>
      <c r="G172" t="inlineStr">
        <is>
          <t>SKARA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45687</v>
      </c>
      <c r="E173" s="1" t="n">
        <v>46283</v>
      </c>
      <c r="F173" t="inlineStr">
        <is>
          <t>VÄSTRA GÖTALANDS LÄN</t>
        </is>
      </c>
      <c r="G173" t="inlineStr">
        <is>
          <t>SKARA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46283</v>
      </c>
      <c r="F174" t="inlineStr">
        <is>
          <t>VÄSTRA GÖTALANDS LÄN</t>
        </is>
      </c>
      <c r="G174" t="inlineStr">
        <is>
          <t>SKARA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45385</v>
      </c>
      <c r="E175" s="1" t="n">
        <v>46283</v>
      </c>
      <c r="F175" t="inlineStr">
        <is>
          <t>VÄSTRA GÖTALANDS LÄN</t>
        </is>
      </c>
      <c r="G175" t="inlineStr">
        <is>
          <t>SKARA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46283</v>
      </c>
      <c r="F176" t="inlineStr">
        <is>
          <t>VÄSTRA GÖTALANDS LÄN</t>
        </is>
      </c>
      <c r="G176" t="inlineStr">
        <is>
          <t>SKARA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44887</v>
      </c>
      <c r="E177" s="1" t="n">
        <v>46283</v>
      </c>
      <c r="F177" t="inlineStr">
        <is>
          <t>VÄSTRA GÖTALANDS LÄN</t>
        </is>
      </c>
      <c r="G177" t="inlineStr">
        <is>
          <t>SKARA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38007-2026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46280</v>
      </c>
      <c r="E178" s="1" t="n">
        <v>46283</v>
      </c>
      <c r="F178" t="inlineStr">
        <is>
          <t>VÄSTRA GÖTALANDS LÄN</t>
        </is>
      </c>
      <c r="G178" t="inlineStr">
        <is>
          <t>SKARA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46283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64551-2023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46283</v>
      </c>
      <c r="F180" t="inlineStr">
        <is>
          <t>VÄSTRA GÖTALANDS LÄN</t>
        </is>
      </c>
      <c r="G180" t="inlineStr">
        <is>
          <t>SKARA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46281</v>
      </c>
      <c r="E181" s="1" t="n">
        <v>46283</v>
      </c>
      <c r="F181" t="inlineStr">
        <is>
          <t>VÄSTRA GÖTALANDS LÄN</t>
        </is>
      </c>
      <c r="G181" t="inlineStr">
        <is>
          <t>SKARA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46283</v>
      </c>
      <c r="F182" t="inlineStr">
        <is>
          <t>VÄSTRA GÖTALANDS LÄN</t>
        </is>
      </c>
      <c r="G182" t="inlineStr">
        <is>
          <t>SKARA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34569-2023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45140</v>
      </c>
      <c r="E183" s="1" t="n">
        <v>46283</v>
      </c>
      <c r="F183" t="inlineStr">
        <is>
          <t>VÄSTRA GÖTALANDS LÄN</t>
        </is>
      </c>
      <c r="G183" t="inlineStr">
        <is>
          <t>SKARA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46281</v>
      </c>
      <c r="E184" s="1" t="n">
        <v>46283</v>
      </c>
      <c r="F184" t="inlineStr">
        <is>
          <t>VÄSTRA GÖTALANDS LÄN</t>
        </is>
      </c>
      <c r="G184" t="inlineStr">
        <is>
          <t>SKARA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44995</v>
      </c>
      <c r="E185" s="1" t="n">
        <v>46283</v>
      </c>
      <c r="F185" t="inlineStr">
        <is>
          <t>VÄSTRA GÖTALANDS LÄN</t>
        </is>
      </c>
      <c r="G185" t="inlineStr">
        <is>
          <t>SKARA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45224</v>
      </c>
      <c r="E186" s="1" t="n">
        <v>46283</v>
      </c>
      <c r="F186" t="inlineStr">
        <is>
          <t>VÄSTRA GÖTALANDS LÄN</t>
        </is>
      </c>
      <c r="G186" t="inlineStr">
        <is>
          <t>SKARA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46283</v>
      </c>
      <c r="F187" t="inlineStr">
        <is>
          <t>VÄSTRA GÖTALANDS LÄN</t>
        </is>
      </c>
      <c r="G187" t="inlineStr">
        <is>
          <t>SKARA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44937</v>
      </c>
      <c r="E188" s="1" t="n">
        <v>46283</v>
      </c>
      <c r="F188" t="inlineStr">
        <is>
          <t>VÄSTRA GÖTALANDS LÄN</t>
        </is>
      </c>
      <c r="G188" t="inlineStr">
        <is>
          <t>SKARA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45145</v>
      </c>
      <c r="E189" s="1" t="n">
        <v>46283</v>
      </c>
      <c r="F189" t="inlineStr">
        <is>
          <t>VÄSTRA GÖTALANDS LÄN</t>
        </is>
      </c>
      <c r="G189" t="inlineStr">
        <is>
          <t>SKARA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45435</v>
      </c>
      <c r="E190" s="1" t="n">
        <v>46283</v>
      </c>
      <c r="F190" t="inlineStr">
        <is>
          <t>VÄSTRA GÖTALANDS LÄN</t>
        </is>
      </c>
      <c r="G190" t="inlineStr">
        <is>
          <t>SKARA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46283</v>
      </c>
      <c r="F191" t="inlineStr">
        <is>
          <t>VÄSTRA GÖTALANDS LÄN</t>
        </is>
      </c>
      <c r="G191" t="inlineStr">
        <is>
          <t>SKARA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46283</v>
      </c>
      <c r="F192" t="inlineStr">
        <is>
          <t>VÄSTRA GÖTALANDS LÄN</t>
        </is>
      </c>
      <c r="G192" t="inlineStr">
        <is>
          <t>SKARA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46283</v>
      </c>
      <c r="F193" t="inlineStr">
        <is>
          <t>VÄSTRA GÖTALANDS LÄN</t>
        </is>
      </c>
      <c r="G193" t="inlineStr">
        <is>
          <t>SKARA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46283</v>
      </c>
      <c r="F194" t="inlineStr">
        <is>
          <t>VÄSTRA GÖTALANDS LÄN</t>
        </is>
      </c>
      <c r="G194" t="inlineStr">
        <is>
          <t>SKARA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46283</v>
      </c>
      <c r="F195" t="inlineStr">
        <is>
          <t>VÄSTRA GÖTALANDS LÄN</t>
        </is>
      </c>
      <c r="G195" t="inlineStr">
        <is>
          <t>SKARA</t>
        </is>
      </c>
      <c r="I195" t="n">
        <v>21.6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46283</v>
      </c>
      <c r="F196" t="inlineStr">
        <is>
          <t>VÄSTRA GÖTALANDS LÄN</t>
        </is>
      </c>
      <c r="G196" t="inlineStr">
        <is>
          <t>SKARA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46283</v>
      </c>
      <c r="F197" t="inlineStr">
        <is>
          <t>VÄSTRA GÖTALANDS LÄN</t>
        </is>
      </c>
      <c r="G197" t="inlineStr">
        <is>
          <t>SKARA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46283</v>
      </c>
      <c r="F198" t="inlineStr">
        <is>
          <t>VÄSTRA GÖTALANDS LÄN</t>
        </is>
      </c>
      <c r="G198" t="inlineStr">
        <is>
          <t>SKARA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46283</v>
      </c>
      <c r="F199" t="inlineStr">
        <is>
          <t>VÄSTRA GÖTALANDS LÄN</t>
        </is>
      </c>
      <c r="G199" t="inlineStr">
        <is>
          <t>SKARA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46283</v>
      </c>
      <c r="F200" t="inlineStr">
        <is>
          <t>VÄSTRA GÖTALANDS LÄN</t>
        </is>
      </c>
      <c r="G200" t="inlineStr">
        <is>
          <t>SKARA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46283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45356</v>
      </c>
      <c r="E202" s="1" t="n">
        <v>46283</v>
      </c>
      <c r="F202" t="inlineStr">
        <is>
          <t>VÄSTRA GÖTALANDS LÄN</t>
        </is>
      </c>
      <c r="G202" t="inlineStr">
        <is>
          <t>SKARA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46283</v>
      </c>
      <c r="F203" t="inlineStr">
        <is>
          <t>VÄSTRA GÖTALANDS LÄN</t>
        </is>
      </c>
      <c r="G203" t="inlineStr">
        <is>
          <t>SKARA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27668-2022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44743</v>
      </c>
      <c r="E204" s="1" t="n">
        <v>46283</v>
      </c>
      <c r="F204" t="inlineStr">
        <is>
          <t>VÄSTRA GÖTALANDS LÄN</t>
        </is>
      </c>
      <c r="G204" t="inlineStr">
        <is>
          <t>SKARA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45628</v>
      </c>
      <c r="E205" s="1" t="n">
        <v>46283</v>
      </c>
      <c r="F205" t="inlineStr">
        <is>
          <t>VÄSTRA GÖTALANDS LÄN</t>
        </is>
      </c>
      <c r="G205" t="inlineStr">
        <is>
          <t>SKARA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46283</v>
      </c>
      <c r="F206" t="inlineStr">
        <is>
          <t>VÄSTRA GÖTALANDS LÄN</t>
        </is>
      </c>
      <c r="G206" t="inlineStr">
        <is>
          <t>SKARA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46283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45758</v>
      </c>
      <c r="E208" s="1" t="n">
        <v>46283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45313</v>
      </c>
      <c r="E209" s="1" t="n">
        <v>46283</v>
      </c>
      <c r="F209" t="inlineStr">
        <is>
          <t>VÄSTRA GÖTALANDS LÄN</t>
        </is>
      </c>
      <c r="G209" t="inlineStr">
        <is>
          <t>SKARA</t>
        </is>
      </c>
      <c r="I209" t="n">
        <v>11.7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46283</v>
      </c>
      <c r="F210" t="inlineStr">
        <is>
          <t>VÄSTRA GÖTALANDS LÄN</t>
        </is>
      </c>
      <c r="G210" t="inlineStr">
        <is>
          <t>SKARA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45595</v>
      </c>
      <c r="E211" s="1" t="n">
        <v>46283</v>
      </c>
      <c r="F211" t="inlineStr">
        <is>
          <t>VÄSTRA GÖTALANDS LÄN</t>
        </is>
      </c>
      <c r="G211" t="inlineStr">
        <is>
          <t>SKARA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45635</v>
      </c>
      <c r="E212" s="1" t="n">
        <v>46283</v>
      </c>
      <c r="F212" t="inlineStr">
        <is>
          <t>VÄSTRA GÖTALANDS LÄN</t>
        </is>
      </c>
      <c r="G212" t="inlineStr">
        <is>
          <t>SKARA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25219-2025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45800</v>
      </c>
      <c r="E213" s="1" t="n">
        <v>46283</v>
      </c>
      <c r="F213" t="inlineStr">
        <is>
          <t>VÄSTRA GÖTALANDS LÄN</t>
        </is>
      </c>
      <c r="G213" t="inlineStr">
        <is>
          <t>SKARA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46283</v>
      </c>
      <c r="F214" t="inlineStr">
        <is>
          <t>VÄSTRA GÖTALANDS LÄN</t>
        </is>
      </c>
      <c r="G214" t="inlineStr">
        <is>
          <t>SKARA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46283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46283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2026-09-18T02:01:39Z</dcterms:created>
  <dcterms:modified xmlns:dcterms="http://purl.org/dc/terms/" xmlns:xsi="http://www.w3.org/2001/XMLSchema-instance" xsi:type="dcterms:W3CDTF">2026-09-18T02:01:39Z</dcterms:modified>
</cp:coreProperties>
</file>