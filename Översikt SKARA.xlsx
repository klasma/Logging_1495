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46219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46219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46219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46219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46219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46219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46219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46219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46219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46219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Grönvit nattviol</t>
        </is>
      </c>
      <c r="V12">
        <f>HYPERLINK("https://klasma.github.io/Logging_1495/artfynd/A 9277-2023 artfynd.xlsx", "A 9277-2023")</f>
        <v/>
      </c>
      <c r="W12">
        <f>HYPERLINK("https://klasma.github.io/Logging_1495/kartor/A 9277-2023 karta.png", "A 9277-2023")</f>
        <v/>
      </c>
      <c r="Y12">
        <f>HYPERLINK("https://klasma.github.io/Logging_1495/klagomål/A 9277-2023 FSC-klagomål.docx", "A 9277-2023")</f>
        <v/>
      </c>
      <c r="Z12">
        <f>HYPERLINK("https://klasma.github.io/Logging_1495/klagomålsmail/A 9277-2023 FSC-klagomål mail.docx", "A 9277-2023")</f>
        <v/>
      </c>
      <c r="AA12">
        <f>HYPERLINK("https://klasma.github.io/Logging_1495/tillsyn/A 9277-2023 tillsynsbegäran.docx", "A 9277-2023")</f>
        <v/>
      </c>
      <c r="AB12">
        <f>HYPERLINK("https://klasma.github.io/Logging_1495/tillsynsmail/A 9277-2023 tillsynsbegäran mail.docx", "A 9277-2023")</f>
        <v/>
      </c>
    </row>
    <row r="13" ht="15" customHeight="1">
      <c r="A13" t="inlineStr">
        <is>
          <t>A 30080-2023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45110</v>
      </c>
      <c r="E13" s="1" t="n">
        <v>46219</v>
      </c>
      <c r="F13" t="inlineStr">
        <is>
          <t>VÄSTRA GÖTALANDS LÄN</t>
        </is>
      </c>
      <c r="G13" t="inlineStr">
        <is>
          <t>SKARA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Igelkott</t>
        </is>
      </c>
      <c r="V13">
        <f>HYPERLINK("https://klasma.github.io/Logging_1495/artfynd/A 30080-2023 artfynd.xlsx", "A 30080-2023")</f>
        <v/>
      </c>
      <c r="W13">
        <f>HYPERLINK("https://klasma.github.io/Logging_1495/kartor/A 30080-2023 karta.png", "A 30080-2023")</f>
        <v/>
      </c>
      <c r="Y13">
        <f>HYPERLINK("https://klasma.github.io/Logging_1495/klagomål/A 30080-2023 FSC-klagomål.docx", "A 30080-2023")</f>
        <v/>
      </c>
      <c r="Z13">
        <f>HYPERLINK("https://klasma.github.io/Logging_1495/klagomålsmail/A 30080-2023 FSC-klagomål mail.docx", "A 30080-2023")</f>
        <v/>
      </c>
      <c r="AA13">
        <f>HYPERLINK("https://klasma.github.io/Logging_1495/tillsyn/A 30080-2023 tillsynsbegäran.docx", "A 30080-2023")</f>
        <v/>
      </c>
      <c r="AB13">
        <f>HYPERLINK("https://klasma.github.io/Logging_1495/tillsynsmail/A 30080-2023 tillsynsbegäran mail.docx", "A 30080-2023")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46219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HYPERLINK("https://klasma.github.io/Logging_1495/artfynd/A 23455-2026 artfynd.xlsx", "A 23455-2026")</f>
        <v/>
      </c>
      <c r="W14">
        <f>HYPERLINK("https://klasma.github.io/Logging_1495/kartor/A 23455-2026 karta.png", "A 23455-2026")</f>
        <v/>
      </c>
      <c r="Y14">
        <f>HYPERLINK("https://klasma.github.io/Logging_1495/klagomål/A 23455-2026 FSC-klagomål.docx", "A 23455-2026")</f>
        <v/>
      </c>
      <c r="Z14">
        <f>HYPERLINK("https://klasma.github.io/Logging_1495/klagomålsmail/A 23455-2026 FSC-klagomål mail.docx", "A 23455-2026")</f>
        <v/>
      </c>
      <c r="AA14">
        <f>HYPERLINK("https://klasma.github.io/Logging_1495/tillsyn/A 23455-2026 tillsynsbegäran.docx", "A 23455-2026")</f>
        <v/>
      </c>
      <c r="AB14">
        <f>HYPERLINK("https://klasma.github.io/Logging_1495/tillsynsmail/A 23455-2026 tillsynsbegäran mail.docx", "A 23455-2026")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46219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HYPERLINK("https://klasma.github.io/Logging_1495/artfynd/A 55928-2025 artfynd.xlsx", "A 55928-2025")</f>
        <v/>
      </c>
      <c r="W15">
        <f>HYPERLINK("https://klasma.github.io/Logging_1495/kartor/A 55928-2025 karta.png", "A 55928-2025")</f>
        <v/>
      </c>
      <c r="Y15">
        <f>HYPERLINK("https://klasma.github.io/Logging_1495/klagomål/A 55928-2025 FSC-klagomål.docx", "A 55928-2025")</f>
        <v/>
      </c>
      <c r="Z15">
        <f>HYPERLINK("https://klasma.github.io/Logging_1495/klagomålsmail/A 55928-2025 FSC-klagomål mail.docx", "A 55928-2025")</f>
        <v/>
      </c>
      <c r="AA15">
        <f>HYPERLINK("https://klasma.github.io/Logging_1495/tillsyn/A 55928-2025 tillsynsbegäran.docx", "A 55928-2025")</f>
        <v/>
      </c>
      <c r="AB15">
        <f>HYPERLINK("https://klasma.github.io/Logging_1495/tillsynsmail/A 55928-2025 tillsynsbegäran mail.docx", "A 55928-2025")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46219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HYPERLINK("https://klasma.github.io/Logging_1495/artfynd/A 52041-2023 artfynd.xlsx", "A 52041-2023")</f>
        <v/>
      </c>
      <c r="W16">
        <f>HYPERLINK("https://klasma.github.io/Logging_1495/kartor/A 52041-2023 karta.png", "A 52041-2023")</f>
        <v/>
      </c>
      <c r="Y16">
        <f>HYPERLINK("https://klasma.github.io/Logging_1495/klagomål/A 52041-2023 FSC-klagomål.docx", "A 52041-2023")</f>
        <v/>
      </c>
      <c r="Z16">
        <f>HYPERLINK("https://klasma.github.io/Logging_1495/klagomålsmail/A 52041-2023 FSC-klagomål mail.docx", "A 52041-2023")</f>
        <v/>
      </c>
      <c r="AA16">
        <f>HYPERLINK("https://klasma.github.io/Logging_1495/tillsyn/A 52041-2023 tillsynsbegäran.docx", "A 52041-2023")</f>
        <v/>
      </c>
      <c r="AB16">
        <f>HYPERLINK("https://klasma.github.io/Logging_1495/tillsynsmail/A 52041-2023 tillsynsbegäran mail.docx", "A 52041-2023")</f>
        <v/>
      </c>
    </row>
    <row r="17" ht="15" customHeight="1">
      <c r="A17" t="inlineStr">
        <is>
          <t>A 19729-2026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46219</v>
      </c>
      <c r="F17" t="inlineStr">
        <is>
          <t>VÄSTRA GÖTALANDS LÄN</t>
        </is>
      </c>
      <c r="G17" t="inlineStr">
        <is>
          <t>SKARA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Grönvit nattviol</t>
        </is>
      </c>
      <c r="V17">
        <f>HYPERLINK("https://klasma.github.io/Logging_1495/artfynd/A 19729-2026 artfynd.xlsx", "A 19729-2026")</f>
        <v/>
      </c>
      <c r="W17">
        <f>HYPERLINK("https://klasma.github.io/Logging_1495/kartor/A 19729-2026 karta.png", "A 19729-2026")</f>
        <v/>
      </c>
      <c r="Y17">
        <f>HYPERLINK("https://klasma.github.io/Logging_1495/klagomål/A 19729-2026 FSC-klagomål.docx", "A 19729-2026")</f>
        <v/>
      </c>
      <c r="Z17">
        <f>HYPERLINK("https://klasma.github.io/Logging_1495/klagomålsmail/A 19729-2026 FSC-klagomål mail.docx", "A 19729-2026")</f>
        <v/>
      </c>
      <c r="AA17">
        <f>HYPERLINK("https://klasma.github.io/Logging_1495/tillsyn/A 19729-2026 tillsynsbegäran.docx", "A 19729-2026")</f>
        <v/>
      </c>
      <c r="AB17">
        <f>HYPERLINK("https://klasma.github.io/Logging_1495/tillsynsmail/A 19729-2026 tillsynsbegäran mail.docx", "A 19729-2026")</f>
        <v/>
      </c>
    </row>
    <row r="18" ht="15" customHeight="1">
      <c r="A18" t="inlineStr">
        <is>
          <t>A 20063-2025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45772</v>
      </c>
      <c r="E18" s="1" t="n">
        <v>46219</v>
      </c>
      <c r="F18" t="inlineStr">
        <is>
          <t>VÄSTRA GÖTALANDS LÄN</t>
        </is>
      </c>
      <c r="G18" t="inlineStr">
        <is>
          <t>SKARA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Skinntagging</t>
        </is>
      </c>
      <c r="V18">
        <f>HYPERLINK("https://klasma.github.io/Logging_1495/artfynd/A 20063-2025 artfynd.xlsx", "A 20063-2025")</f>
        <v/>
      </c>
      <c r="W18">
        <f>HYPERLINK("https://klasma.github.io/Logging_1495/kartor/A 20063-2025 karta.png", "A 20063-2025")</f>
        <v/>
      </c>
      <c r="Y18">
        <f>HYPERLINK("https://klasma.github.io/Logging_1495/klagomål/A 20063-2025 FSC-klagomål.docx", "A 20063-2025")</f>
        <v/>
      </c>
      <c r="Z18">
        <f>HYPERLINK("https://klasma.github.io/Logging_1495/klagomålsmail/A 20063-2025 FSC-klagomål mail.docx", "A 20063-2025")</f>
        <v/>
      </c>
      <c r="AA18">
        <f>HYPERLINK("https://klasma.github.io/Logging_1495/tillsyn/A 20063-2025 tillsynsbegäran.docx", "A 20063-2025")</f>
        <v/>
      </c>
      <c r="AB18">
        <f>HYPERLINK("https://klasma.github.io/Logging_1495/tillsynsmail/A 20063-2025 tillsynsbegäran mail.docx", "A 20063-2025")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46219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40946-2021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44421</v>
      </c>
      <c r="E20" s="1" t="n">
        <v>46219</v>
      </c>
      <c r="F20" t="inlineStr">
        <is>
          <t>VÄSTRA GÖTALANDS LÄN</t>
        </is>
      </c>
      <c r="G20" t="inlineStr">
        <is>
          <t>SKARA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46219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46219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46219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46219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46219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46219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46219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46219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46219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46219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46219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46219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26268-2023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45091</v>
      </c>
      <c r="E33" s="1" t="n">
        <v>46219</v>
      </c>
      <c r="F33" t="inlineStr">
        <is>
          <t>VÄSTRA GÖTALANDS LÄN</t>
        </is>
      </c>
      <c r="G33" t="inlineStr">
        <is>
          <t>SKARA</t>
        </is>
      </c>
      <c r="I33" t="n">
        <v>21.6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7946-2023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46219</v>
      </c>
      <c r="F34" t="inlineStr">
        <is>
          <t>VÄSTRA GÖTALANDS LÄN</t>
        </is>
      </c>
      <c r="G34" t="inlineStr">
        <is>
          <t>SKARA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46219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52381-2023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46219</v>
      </c>
      <c r="F36" t="inlineStr">
        <is>
          <t>VÄSTRA GÖTALANDS LÄN</t>
        </is>
      </c>
      <c r="G36" t="inlineStr">
        <is>
          <t>SKARA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18616-2025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46219</v>
      </c>
      <c r="F37" t="inlineStr">
        <is>
          <t>VÄSTRA GÖTALANDS LÄN</t>
        </is>
      </c>
      <c r="G37" t="inlineStr">
        <is>
          <t>SKARA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46219</v>
      </c>
      <c r="F38" t="inlineStr">
        <is>
          <t>VÄSTRA GÖTALANDS LÄN</t>
        </is>
      </c>
      <c r="G38" t="inlineStr">
        <is>
          <t>SKARA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50741-2021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46219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37460-2023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46219</v>
      </c>
      <c r="F40" t="inlineStr">
        <is>
          <t>VÄSTRA GÖTALANDS LÄN</t>
        </is>
      </c>
      <c r="G40" t="inlineStr">
        <is>
          <t>SKARA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46219</v>
      </c>
      <c r="F41" t="inlineStr">
        <is>
          <t>VÄSTRA GÖTALANDS LÄN</t>
        </is>
      </c>
      <c r="G41" t="inlineStr">
        <is>
          <t>SKARA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46219</v>
      </c>
      <c r="F42" t="inlineStr">
        <is>
          <t>VÄSTRA GÖTALANDS LÄN</t>
        </is>
      </c>
      <c r="G42" t="inlineStr">
        <is>
          <t>SKARA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9006-2022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46219</v>
      </c>
      <c r="F43" t="inlineStr">
        <is>
          <t>VÄSTRA GÖTALANDS LÄN</t>
        </is>
      </c>
      <c r="G43" t="inlineStr">
        <is>
          <t>SKARA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46219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46219</v>
      </c>
      <c r="F45" t="inlineStr">
        <is>
          <t>VÄSTRA GÖTALANDS LÄN</t>
        </is>
      </c>
      <c r="G45" t="inlineStr">
        <is>
          <t>SKARA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62890-2023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46219</v>
      </c>
      <c r="F46" t="inlineStr">
        <is>
          <t>VÄSTRA GÖTALANDS LÄN</t>
        </is>
      </c>
      <c r="G46" t="inlineStr">
        <is>
          <t>SKARA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56849-2022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46219</v>
      </c>
      <c r="F47" t="inlineStr">
        <is>
          <t>VÄSTRA GÖTALANDS LÄN</t>
        </is>
      </c>
      <c r="G47" t="inlineStr">
        <is>
          <t>SKARA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5825-2024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45335</v>
      </c>
      <c r="E48" s="1" t="n">
        <v>46219</v>
      </c>
      <c r="F48" t="inlineStr">
        <is>
          <t>VÄSTRA GÖTALANDS LÄN</t>
        </is>
      </c>
      <c r="G48" t="inlineStr">
        <is>
          <t>SKARA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45398</v>
      </c>
      <c r="E49" s="1" t="n">
        <v>46219</v>
      </c>
      <c r="F49" t="inlineStr">
        <is>
          <t>VÄSTRA GÖTALANDS LÄN</t>
        </is>
      </c>
      <c r="G49" t="inlineStr">
        <is>
          <t>SKARA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48098-2022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44856</v>
      </c>
      <c r="E50" s="1" t="n">
        <v>46219</v>
      </c>
      <c r="F50" t="inlineStr">
        <is>
          <t>VÄSTRA GÖTALANDS LÄN</t>
        </is>
      </c>
      <c r="G50" t="inlineStr">
        <is>
          <t>SKARA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45713</v>
      </c>
      <c r="E51" s="1" t="n">
        <v>46219</v>
      </c>
      <c r="F51" t="inlineStr">
        <is>
          <t>VÄSTRA GÖTALANDS LÄN</t>
        </is>
      </c>
      <c r="G51" t="inlineStr">
        <is>
          <t>SKARA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46219</v>
      </c>
      <c r="F52" t="inlineStr">
        <is>
          <t>VÄSTRA GÖTALANDS LÄN</t>
        </is>
      </c>
      <c r="G52" t="inlineStr">
        <is>
          <t>SKARA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60840-2021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46219</v>
      </c>
      <c r="F53" t="inlineStr">
        <is>
          <t>VÄSTRA GÖTALANDS LÄN</t>
        </is>
      </c>
      <c r="G53" t="inlineStr">
        <is>
          <t>SKARA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46219</v>
      </c>
      <c r="F54" t="inlineStr">
        <is>
          <t>VÄSTRA GÖTALANDS LÄN</t>
        </is>
      </c>
      <c r="G54" t="inlineStr">
        <is>
          <t>SKARA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55202-2024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45621</v>
      </c>
      <c r="E55" s="1" t="n">
        <v>46219</v>
      </c>
      <c r="F55" t="inlineStr">
        <is>
          <t>VÄSTRA GÖTALANDS LÄN</t>
        </is>
      </c>
      <c r="G55" t="inlineStr">
        <is>
          <t>SKARA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55211-2024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46219</v>
      </c>
      <c r="F56" t="inlineStr">
        <is>
          <t>VÄSTRA GÖTALANDS LÄN</t>
        </is>
      </c>
      <c r="G56" t="inlineStr">
        <is>
          <t>SKARA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49002-2022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46219</v>
      </c>
      <c r="F57" t="inlineStr">
        <is>
          <t>VÄSTRA GÖTALANDS LÄN</t>
        </is>
      </c>
      <c r="G57" t="inlineStr">
        <is>
          <t>SKARA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60086-2024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45642</v>
      </c>
      <c r="E58" s="1" t="n">
        <v>46219</v>
      </c>
      <c r="F58" t="inlineStr">
        <is>
          <t>VÄSTRA GÖTALANDS LÄN</t>
        </is>
      </c>
      <c r="G58" t="inlineStr">
        <is>
          <t>SKARA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7233-2023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46219</v>
      </c>
      <c r="F59" t="inlineStr">
        <is>
          <t>VÄSTRA GÖTALANDS LÄN</t>
        </is>
      </c>
      <c r="G59" t="inlineStr">
        <is>
          <t>SKARA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57258-2022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46219</v>
      </c>
      <c r="F60" t="inlineStr">
        <is>
          <t>VÄSTRA GÖTALANDS LÄN</t>
        </is>
      </c>
      <c r="G60" t="inlineStr">
        <is>
          <t>SKARA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32668-2024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45514</v>
      </c>
      <c r="E61" s="1" t="n">
        <v>46219</v>
      </c>
      <c r="F61" t="inlineStr">
        <is>
          <t>VÄSTRA GÖTALANDS LÄN</t>
        </is>
      </c>
      <c r="G61" t="inlineStr">
        <is>
          <t>SKARA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65124-2023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46219</v>
      </c>
      <c r="F62" t="inlineStr">
        <is>
          <t>VÄSTRA GÖTALANDS LÄN</t>
        </is>
      </c>
      <c r="G62" t="inlineStr">
        <is>
          <t>SKARA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29255-2025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46219</v>
      </c>
      <c r="F63" t="inlineStr">
        <is>
          <t>VÄSTRA GÖTALANDS LÄN</t>
        </is>
      </c>
      <c r="G63" t="inlineStr">
        <is>
          <t>SKARA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46219</v>
      </c>
      <c r="F64" t="inlineStr">
        <is>
          <t>VÄSTRA GÖTALANDS LÄN</t>
        </is>
      </c>
      <c r="G64" t="inlineStr">
        <is>
          <t>SKARA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46219</v>
      </c>
      <c r="F65" t="inlineStr">
        <is>
          <t>VÄSTRA GÖTALANDS LÄN</t>
        </is>
      </c>
      <c r="G65" t="inlineStr">
        <is>
          <t>SKARA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60654-2021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46219</v>
      </c>
      <c r="F66" t="inlineStr">
        <is>
          <t>VÄSTRA GÖTALANDS LÄN</t>
        </is>
      </c>
      <c r="G66" t="inlineStr">
        <is>
          <t>SKARA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39494-2025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46219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39365-2025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46219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46219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46219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46219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46219</v>
      </c>
      <c r="F72" t="inlineStr">
        <is>
          <t>VÄSTRA GÖTALANDS LÄN</t>
        </is>
      </c>
      <c r="G72" t="inlineStr">
        <is>
          <t>SKARA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46219</v>
      </c>
      <c r="F73" t="inlineStr">
        <is>
          <t>VÄSTRA GÖTALANDS LÄN</t>
        </is>
      </c>
      <c r="G73" t="inlineStr">
        <is>
          <t>SKARA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10827-2023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44990</v>
      </c>
      <c r="E74" s="1" t="n">
        <v>46219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27980-2023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46219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42874-2022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44832</v>
      </c>
      <c r="E76" s="1" t="n">
        <v>46219</v>
      </c>
      <c r="F76" t="inlineStr">
        <is>
          <t>VÄSTRA GÖTALANDS LÄN</t>
        </is>
      </c>
      <c r="G76" t="inlineStr">
        <is>
          <t>SKARA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45091</v>
      </c>
      <c r="E77" s="1" t="n">
        <v>46219</v>
      </c>
      <c r="F77" t="inlineStr">
        <is>
          <t>VÄSTRA GÖTALANDS LÄN</t>
        </is>
      </c>
      <c r="G77" t="inlineStr">
        <is>
          <t>SKARA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26575-2024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45469</v>
      </c>
      <c r="E78" s="1" t="n">
        <v>46219</v>
      </c>
      <c r="F78" t="inlineStr">
        <is>
          <t>VÄSTRA GÖTALANDS LÄN</t>
        </is>
      </c>
      <c r="G78" t="inlineStr">
        <is>
          <t>SKARA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45667</v>
      </c>
      <c r="E79" s="1" t="n">
        <v>46219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45299</v>
      </c>
      <c r="E80" s="1" t="n">
        <v>46219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65095-2023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46219</v>
      </c>
      <c r="F81" t="inlineStr">
        <is>
          <t>VÄSTRA GÖTALANDS LÄN</t>
        </is>
      </c>
      <c r="G81" t="inlineStr">
        <is>
          <t>SKARA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44819-2025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46219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30085-2023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46219</v>
      </c>
      <c r="F83" t="inlineStr">
        <is>
          <t>VÄSTRA GÖTALANDS LÄN</t>
        </is>
      </c>
      <c r="G83" t="inlineStr">
        <is>
          <t>SKARA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46219</v>
      </c>
      <c r="F84" t="inlineStr">
        <is>
          <t>VÄSTRA GÖTALANDS LÄN</t>
        </is>
      </c>
      <c r="G84" t="inlineStr">
        <is>
          <t>SKARA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46155-2025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46219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46219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46211-2025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46219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46219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25176-2023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45086</v>
      </c>
      <c r="E89" s="1" t="n">
        <v>46219</v>
      </c>
      <c r="F89" t="inlineStr">
        <is>
          <t>VÄSTRA GÖTALANDS LÄN</t>
        </is>
      </c>
      <c r="G89" t="inlineStr">
        <is>
          <t>SKARA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8781-2024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46219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46219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47010-2025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46219</v>
      </c>
      <c r="F92" t="inlineStr">
        <is>
          <t>VÄSTRA GÖTALANDS LÄN</t>
        </is>
      </c>
      <c r="G92" t="inlineStr">
        <is>
          <t>SKARA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42301-2023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46219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48088-2025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46219</v>
      </c>
      <c r="F94" t="inlineStr">
        <is>
          <t>VÄSTRA GÖTALANDS LÄN</t>
        </is>
      </c>
      <c r="G94" t="inlineStr">
        <is>
          <t>SKARA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30515-2024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45492</v>
      </c>
      <c r="E95" s="1" t="n">
        <v>46219</v>
      </c>
      <c r="F95" t="inlineStr">
        <is>
          <t>VÄSTRA GÖTALANDS LÄN</t>
        </is>
      </c>
      <c r="G95" t="inlineStr">
        <is>
          <t>SKARA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46219</v>
      </c>
      <c r="F96" t="inlineStr">
        <is>
          <t>VÄSTRA GÖTALANDS LÄN</t>
        </is>
      </c>
      <c r="G96" t="inlineStr">
        <is>
          <t>SKARA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16510-2024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46219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50590-2025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46219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59842-2022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46219</v>
      </c>
      <c r="F99" t="inlineStr">
        <is>
          <t>VÄSTRA GÖTALANDS LÄN</t>
        </is>
      </c>
      <c r="G99" t="inlineStr">
        <is>
          <t>SKARA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46219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36041-2023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46219</v>
      </c>
      <c r="F101" t="inlineStr">
        <is>
          <t>VÄSTRA GÖTALANDS LÄN</t>
        </is>
      </c>
      <c r="G101" t="inlineStr">
        <is>
          <t>SKARA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36045-2023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45149</v>
      </c>
      <c r="E102" s="1" t="n">
        <v>46219</v>
      </c>
      <c r="F102" t="inlineStr">
        <is>
          <t>VÄSTRA GÖTALANDS LÄN</t>
        </is>
      </c>
      <c r="G102" t="inlineStr">
        <is>
          <t>SKARA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55247-2022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46219</v>
      </c>
      <c r="F103" t="inlineStr">
        <is>
          <t>VÄSTRA GÖTALANDS LÄN</t>
        </is>
      </c>
      <c r="G103" t="inlineStr">
        <is>
          <t>SKARA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46219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30019-2023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45109</v>
      </c>
      <c r="E105" s="1" t="n">
        <v>46219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46219</v>
      </c>
      <c r="F106" t="inlineStr">
        <is>
          <t>VÄSTRA GÖTALANDS LÄN</t>
        </is>
      </c>
      <c r="G106" t="inlineStr">
        <is>
          <t>SKARA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46219</v>
      </c>
      <c r="F107" t="inlineStr">
        <is>
          <t>VÄSTRA GÖTALANDS LÄN</t>
        </is>
      </c>
      <c r="G107" t="inlineStr">
        <is>
          <t>SKARA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53527-2025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46219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Kyrkan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30479-2023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46219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23457-2026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46163</v>
      </c>
      <c r="E110" s="1" t="n">
        <v>46219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23452-2026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46219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24142-2026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46168</v>
      </c>
      <c r="E112" s="1" t="n">
        <v>46219</v>
      </c>
      <c r="F112" t="inlineStr">
        <is>
          <t>VÄSTRA GÖTALANDS LÄN</t>
        </is>
      </c>
      <c r="G112" t="inlineStr">
        <is>
          <t>SKARA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24143-2026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46219</v>
      </c>
      <c r="F113" t="inlineStr">
        <is>
          <t>VÄSTRA GÖTALANDS LÄN</t>
        </is>
      </c>
      <c r="G113" t="inlineStr">
        <is>
          <t>SKARA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56274-2025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46219</v>
      </c>
      <c r="F114" t="inlineStr">
        <is>
          <t>VÄSTRA GÖTALANDS LÄN</t>
        </is>
      </c>
      <c r="G114" t="inlineStr">
        <is>
          <t>SKARA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27668-2022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46219</v>
      </c>
      <c r="F115" t="inlineStr">
        <is>
          <t>VÄSTRA GÖTALANDS LÄN</t>
        </is>
      </c>
      <c r="G115" t="inlineStr">
        <is>
          <t>SKARA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24145-2026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46219</v>
      </c>
      <c r="F116" t="inlineStr">
        <is>
          <t>VÄSTRA GÖTALANDS LÄN</t>
        </is>
      </c>
      <c r="G116" t="inlineStr">
        <is>
          <t>SKARA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45309</v>
      </c>
      <c r="E117" s="1" t="n">
        <v>46219</v>
      </c>
      <c r="F117" t="inlineStr">
        <is>
          <t>VÄSTRA GÖTALANDS LÄN</t>
        </is>
      </c>
      <c r="G117" t="inlineStr">
        <is>
          <t>SKARA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30513-2024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45492</v>
      </c>
      <c r="E118" s="1" t="n">
        <v>46219</v>
      </c>
      <c r="F118" t="inlineStr">
        <is>
          <t>VÄSTRA GÖTALANDS LÄN</t>
        </is>
      </c>
      <c r="G118" t="inlineStr">
        <is>
          <t>SKARA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24144-2026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46168</v>
      </c>
      <c r="E119" s="1" t="n">
        <v>46219</v>
      </c>
      <c r="F119" t="inlineStr">
        <is>
          <t>VÄSTRA GÖTALANDS LÄN</t>
        </is>
      </c>
      <c r="G119" t="inlineStr">
        <is>
          <t>SKARA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29478-2026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46219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27265-2023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46219</v>
      </c>
      <c r="F121" t="inlineStr">
        <is>
          <t>VÄSTRA GÖTALANDS LÄN</t>
        </is>
      </c>
      <c r="G121" t="inlineStr">
        <is>
          <t>SKARA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41602-2023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46219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Kommuner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56922-2024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46219</v>
      </c>
      <c r="F123" t="inlineStr">
        <is>
          <t>VÄSTRA GÖTALANDS LÄN</t>
        </is>
      </c>
      <c r="G123" t="inlineStr">
        <is>
          <t>SKARA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8701-2023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44978</v>
      </c>
      <c r="E124" s="1" t="n">
        <v>46219</v>
      </c>
      <c r="F124" t="inlineStr">
        <is>
          <t>VÄSTRA GÖTALANDS LÄN</t>
        </is>
      </c>
      <c r="G124" t="inlineStr">
        <is>
          <t>SKARA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15927-2023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45022</v>
      </c>
      <c r="E125" s="1" t="n">
        <v>46219</v>
      </c>
      <c r="F125" t="inlineStr">
        <is>
          <t>VÄSTRA GÖTALANDS LÄN</t>
        </is>
      </c>
      <c r="G125" t="inlineStr">
        <is>
          <t>SKARA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25153-2024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46219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26480-2024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45469</v>
      </c>
      <c r="E127" s="1" t="n">
        <v>46219</v>
      </c>
      <c r="F127" t="inlineStr">
        <is>
          <t>VÄSTRA GÖTALANDS LÄN</t>
        </is>
      </c>
      <c r="G127" t="inlineStr">
        <is>
          <t>SKARA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26482-2024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45469</v>
      </c>
      <c r="E128" s="1" t="n">
        <v>46219</v>
      </c>
      <c r="F128" t="inlineStr">
        <is>
          <t>VÄSTRA GÖTALANDS LÄN</t>
        </is>
      </c>
      <c r="G128" t="inlineStr">
        <is>
          <t>SKARA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61324-2025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46219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62779-2025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46219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17705-2025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46219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46219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2590-2024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45313</v>
      </c>
      <c r="E133" s="1" t="n">
        <v>46219</v>
      </c>
      <c r="F133" t="inlineStr">
        <is>
          <t>VÄSTRA GÖTALANDS LÄN</t>
        </is>
      </c>
      <c r="G133" t="inlineStr">
        <is>
          <t>SKARA</t>
        </is>
      </c>
      <c r="I133" t="n">
        <v>11.7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9117-2025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46219</v>
      </c>
      <c r="F134" t="inlineStr">
        <is>
          <t>VÄSTRA GÖTALANDS LÄN</t>
        </is>
      </c>
      <c r="G134" t="inlineStr">
        <is>
          <t>SKARA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46185-2023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46219</v>
      </c>
      <c r="F135" t="inlineStr">
        <is>
          <t>VÄSTRA GÖTALANDS LÄN</t>
        </is>
      </c>
      <c r="G135" t="inlineStr">
        <is>
          <t>SKARA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46219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59841-2024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46219</v>
      </c>
      <c r="F137" t="inlineStr">
        <is>
          <t>VÄSTRA GÖTALANDS LÄN</t>
        </is>
      </c>
      <c r="G137" t="inlineStr">
        <is>
          <t>SKARA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26084-2023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46219</v>
      </c>
      <c r="F138" t="inlineStr">
        <is>
          <t>VÄSTRA GÖTALANDS LÄN</t>
        </is>
      </c>
      <c r="G138" t="inlineStr">
        <is>
          <t>SKARA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5900-2026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46219</v>
      </c>
      <c r="F139" t="inlineStr">
        <is>
          <t>VÄSTRA GÖTALANDS LÄN</t>
        </is>
      </c>
      <c r="G139" t="inlineStr">
        <is>
          <t>SKARA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18017-2024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46219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49435-2024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45595</v>
      </c>
      <c r="E141" s="1" t="n">
        <v>46219</v>
      </c>
      <c r="F141" t="inlineStr">
        <is>
          <t>VÄSTRA GÖTALANDS LÄN</t>
        </is>
      </c>
      <c r="G141" t="inlineStr">
        <is>
          <t>SKARA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46219</v>
      </c>
      <c r="F142" t="inlineStr">
        <is>
          <t>VÄSTRA GÖTALANDS LÄN</t>
        </is>
      </c>
      <c r="G142" t="inlineStr">
        <is>
          <t>SKARA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58683-2024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45635</v>
      </c>
      <c r="E143" s="1" t="n">
        <v>46219</v>
      </c>
      <c r="F143" t="inlineStr">
        <is>
          <t>VÄSTRA GÖTALANDS LÄN</t>
        </is>
      </c>
      <c r="G143" t="inlineStr">
        <is>
          <t>SKARA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7522-2026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46219</v>
      </c>
      <c r="F144" t="inlineStr">
        <is>
          <t>VÄSTRA GÖTALANDS LÄN</t>
        </is>
      </c>
      <c r="G144" t="inlineStr">
        <is>
          <t>SKARA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7530-2026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46219</v>
      </c>
      <c r="F145" t="inlineStr">
        <is>
          <t>VÄSTRA GÖTALANDS LÄN</t>
        </is>
      </c>
      <c r="G145" t="inlineStr">
        <is>
          <t>SKARA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7531-2026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46219</v>
      </c>
      <c r="F146" t="inlineStr">
        <is>
          <t>VÄSTRA GÖTALANDS LÄN</t>
        </is>
      </c>
      <c r="G146" t="inlineStr">
        <is>
          <t>SKARA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10176-2025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46219</v>
      </c>
      <c r="F147" t="inlineStr">
        <is>
          <t>VÄSTRA GÖTALANDS LÄN</t>
        </is>
      </c>
      <c r="G147" t="inlineStr">
        <is>
          <t>SKARA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20870-2022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44701</v>
      </c>
      <c r="E148" s="1" t="n">
        <v>46219</v>
      </c>
      <c r="F148" t="inlineStr">
        <is>
          <t>VÄSTRA GÖTALANDS LÄN</t>
        </is>
      </c>
      <c r="G148" t="inlineStr">
        <is>
          <t>SKARA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44698</v>
      </c>
      <c r="E149" s="1" t="n">
        <v>46219</v>
      </c>
      <c r="F149" t="inlineStr">
        <is>
          <t>VÄSTRA GÖTALANDS LÄN</t>
        </is>
      </c>
      <c r="G149" t="inlineStr">
        <is>
          <t>SKARA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9691-2026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46219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46219</v>
      </c>
      <c r="F151" t="inlineStr">
        <is>
          <t>VÄSTRA GÖTALANDS LÄN</t>
        </is>
      </c>
      <c r="G151" t="inlineStr">
        <is>
          <t>SKARA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12332-2026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46087</v>
      </c>
      <c r="E152" s="1" t="n">
        <v>46219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10913-2024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45370</v>
      </c>
      <c r="E153" s="1" t="n">
        <v>46219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13276-2026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46219</v>
      </c>
      <c r="F154" t="inlineStr">
        <is>
          <t>VÄSTRA GÖTALANDS LÄN</t>
        </is>
      </c>
      <c r="G154" t="inlineStr">
        <is>
          <t>SKARA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13063-2026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46219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45313</v>
      </c>
      <c r="E156" s="1" t="n">
        <v>46219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25219-2025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45800</v>
      </c>
      <c r="E157" s="1" t="n">
        <v>46219</v>
      </c>
      <c r="F157" t="inlineStr">
        <is>
          <t>VÄSTRA GÖTALANDS LÄN</t>
        </is>
      </c>
      <c r="G157" t="inlineStr">
        <is>
          <t>SKARA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14597-2026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46219</v>
      </c>
      <c r="F158" t="inlineStr">
        <is>
          <t>VÄSTRA GÖTALANDS LÄN</t>
        </is>
      </c>
      <c r="G158" t="inlineStr">
        <is>
          <t>SKARA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46219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14577-2026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46219</v>
      </c>
      <c r="F160" t="inlineStr">
        <is>
          <t>VÄSTRA GÖTALANDS LÄN</t>
        </is>
      </c>
      <c r="G160" t="inlineStr">
        <is>
          <t>SKARA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14422-2026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46219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46219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46219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46219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46219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15425-2026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46219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16085-2026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46219</v>
      </c>
      <c r="F167" t="inlineStr">
        <is>
          <t>VÄSTRA GÖTALANDS LÄN</t>
        </is>
      </c>
      <c r="G167" t="inlineStr">
        <is>
          <t>SKARA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41562-2022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44827</v>
      </c>
      <c r="E168" s="1" t="n">
        <v>46219</v>
      </c>
      <c r="F168" t="inlineStr">
        <is>
          <t>VÄSTRA GÖTALANDS LÄN</t>
        </is>
      </c>
      <c r="G168" t="inlineStr">
        <is>
          <t>SKARA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16199-2026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46219</v>
      </c>
      <c r="F169" t="inlineStr">
        <is>
          <t>VÄSTRA GÖTALANDS LÄN</t>
        </is>
      </c>
      <c r="G169" t="inlineStr">
        <is>
          <t>SKARA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16201-2026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46219</v>
      </c>
      <c r="F170" t="inlineStr">
        <is>
          <t>VÄSTRA GÖTALANDS LÄN</t>
        </is>
      </c>
      <c r="G170" t="inlineStr">
        <is>
          <t>SKARA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45314</v>
      </c>
      <c r="E171" s="1" t="n">
        <v>46219</v>
      </c>
      <c r="F171" t="inlineStr">
        <is>
          <t>VÄSTRA GÖTALANDS LÄN</t>
        </is>
      </c>
      <c r="G171" t="inlineStr">
        <is>
          <t>SKARA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16187-2026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46219</v>
      </c>
      <c r="F172" t="inlineStr">
        <is>
          <t>VÄSTRA GÖTALANDS LÄN</t>
        </is>
      </c>
      <c r="G172" t="inlineStr">
        <is>
          <t>SKARA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16198-2026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46219</v>
      </c>
      <c r="F173" t="inlineStr">
        <is>
          <t>VÄSTRA GÖTALANDS LÄN</t>
        </is>
      </c>
      <c r="G173" t="inlineStr">
        <is>
          <t>SKARA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16755-2026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46219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17288-2026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46219</v>
      </c>
      <c r="F175" t="inlineStr">
        <is>
          <t>VÄSTRA GÖTALANDS LÄN</t>
        </is>
      </c>
      <c r="G175" t="inlineStr">
        <is>
          <t>SKARA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46219</v>
      </c>
      <c r="F176" t="inlineStr">
        <is>
          <t>VÄSTRA GÖTALANDS LÄN</t>
        </is>
      </c>
      <c r="G176" t="inlineStr">
        <is>
          <t>SKARA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59996-2022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46219</v>
      </c>
      <c r="F177" t="inlineStr">
        <is>
          <t>VÄSTRA GÖTALANDS LÄN</t>
        </is>
      </c>
      <c r="G177" t="inlineStr">
        <is>
          <t>SKARA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12937-2024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46219</v>
      </c>
      <c r="F178" t="inlineStr">
        <is>
          <t>VÄSTRA GÖTALANDS LÄN</t>
        </is>
      </c>
      <c r="G178" t="inlineStr">
        <is>
          <t>SKARA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46219</v>
      </c>
      <c r="F179" t="inlineStr">
        <is>
          <t>VÄSTRA GÖTALANDS LÄN</t>
        </is>
      </c>
      <c r="G179" t="inlineStr">
        <is>
          <t>SKARA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46219</v>
      </c>
      <c r="F180" t="inlineStr">
        <is>
          <t>VÄSTRA GÖTALANDS LÄN</t>
        </is>
      </c>
      <c r="G180" t="inlineStr">
        <is>
          <t>SKARA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46219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28041-2025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46219</v>
      </c>
      <c r="F182" t="inlineStr">
        <is>
          <t>VÄSTRA GÖTALANDS LÄN</t>
        </is>
      </c>
      <c r="G182" t="inlineStr">
        <is>
          <t>SKARA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46219</v>
      </c>
      <c r="F183" t="inlineStr">
        <is>
          <t>VÄSTRA GÖTALANDS LÄN</t>
        </is>
      </c>
      <c r="G183" t="inlineStr">
        <is>
          <t>SKARA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46219</v>
      </c>
      <c r="F184" t="inlineStr">
        <is>
          <t>VÄSTRA GÖTALANDS LÄN</t>
        </is>
      </c>
      <c r="G184" t="inlineStr">
        <is>
          <t>SKARA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3144-2023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44946</v>
      </c>
      <c r="E185" s="1" t="n">
        <v>46219</v>
      </c>
      <c r="F185" t="inlineStr">
        <is>
          <t>VÄSTRA GÖTALANDS LÄN</t>
        </is>
      </c>
      <c r="G185" t="inlineStr">
        <is>
          <t>SKARA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64551-2023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46219</v>
      </c>
      <c r="F186" t="inlineStr">
        <is>
          <t>VÄSTRA GÖTALANDS LÄN</t>
        </is>
      </c>
      <c r="G186" t="inlineStr">
        <is>
          <t>SKARA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38205-2022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46219</v>
      </c>
      <c r="F187" t="inlineStr">
        <is>
          <t>VÄSTRA GÖTALANDS LÄN</t>
        </is>
      </c>
      <c r="G187" t="inlineStr">
        <is>
          <t>SKARA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28738-2025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45820</v>
      </c>
      <c r="E188" s="1" t="n">
        <v>46219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34569-2023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45140</v>
      </c>
      <c r="E189" s="1" t="n">
        <v>46219</v>
      </c>
      <c r="F189" t="inlineStr">
        <is>
          <t>VÄSTRA GÖTALANDS LÄN</t>
        </is>
      </c>
      <c r="G189" t="inlineStr">
        <is>
          <t>SKARA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19950-2026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46136</v>
      </c>
      <c r="E190" s="1" t="n">
        <v>46219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38548-2025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46219</v>
      </c>
      <c r="F191" t="inlineStr">
        <is>
          <t>VÄSTRA GÖTALANDS LÄN</t>
        </is>
      </c>
      <c r="G191" t="inlineStr">
        <is>
          <t>SKARA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11900-2023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44995</v>
      </c>
      <c r="E192" s="1" t="n">
        <v>46219</v>
      </c>
      <c r="F192" t="inlineStr">
        <is>
          <t>VÄSTRA GÖTALANDS LÄN</t>
        </is>
      </c>
      <c r="G192" t="inlineStr">
        <is>
          <t>SKARA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52383-2023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46219</v>
      </c>
      <c r="F193" t="inlineStr">
        <is>
          <t>VÄSTRA GÖTALANDS LÄN</t>
        </is>
      </c>
      <c r="G193" t="inlineStr">
        <is>
          <t>SKARA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64553-2023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46219</v>
      </c>
      <c r="F194" t="inlineStr">
        <is>
          <t>VÄSTRA GÖTALANDS LÄN</t>
        </is>
      </c>
      <c r="G194" t="inlineStr">
        <is>
          <t>SKARA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46219</v>
      </c>
      <c r="F195" t="inlineStr">
        <is>
          <t>VÄSTRA GÖTALANDS LÄN</t>
        </is>
      </c>
      <c r="G195" t="inlineStr">
        <is>
          <t>SKARA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18606-2025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46219</v>
      </c>
      <c r="F196" t="inlineStr">
        <is>
          <t>VÄSTRA GÖTALANDS LÄN</t>
        </is>
      </c>
      <c r="G196" t="inlineStr">
        <is>
          <t>SKARA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32844-2025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46219</v>
      </c>
      <c r="F197" t="inlineStr">
        <is>
          <t>VÄSTRA GÖTALANDS LÄN</t>
        </is>
      </c>
      <c r="G197" t="inlineStr">
        <is>
          <t>SKARA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32850-2025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46219</v>
      </c>
      <c r="F198" t="inlineStr">
        <is>
          <t>VÄSTRA GÖTALANDS LÄN</t>
        </is>
      </c>
      <c r="G198" t="inlineStr">
        <is>
          <t>SKARA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35217-2023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46219</v>
      </c>
      <c r="F199" t="inlineStr">
        <is>
          <t>VÄSTRA GÖTALANDS LÄN</t>
        </is>
      </c>
      <c r="G199" t="inlineStr">
        <is>
          <t>SKARA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20470-2024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45435</v>
      </c>
      <c r="E200" s="1" t="n">
        <v>46219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46219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26333-2026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46219</v>
      </c>
      <c r="F202" t="inlineStr">
        <is>
          <t>VÄSTRA GÖTALANDS LÄN</t>
        </is>
      </c>
      <c r="G202" t="inlineStr">
        <is>
          <t>SKARA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33095-2025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46219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25407-2025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46219</v>
      </c>
      <c r="F204" t="inlineStr">
        <is>
          <t>VÄSTRA GÖTALANDS LÄN</t>
        </is>
      </c>
      <c r="G204" t="inlineStr">
        <is>
          <t>SKARA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43564-2021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44433</v>
      </c>
      <c r="E205" s="1" t="n">
        <v>46219</v>
      </c>
      <c r="F205" t="inlineStr">
        <is>
          <t>VÄSTRA GÖTALANDS LÄN</t>
        </is>
      </c>
      <c r="G205" t="inlineStr">
        <is>
          <t>SKARA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44642</v>
      </c>
      <c r="E206" s="1" t="n">
        <v>46219</v>
      </c>
      <c r="F206" t="inlineStr">
        <is>
          <t>VÄSTRA GÖTALANDS LÄN</t>
        </is>
      </c>
      <c r="G206" t="inlineStr">
        <is>
          <t>SKARA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45776</v>
      </c>
      <c r="E207" s="1" t="n">
        <v>46219</v>
      </c>
      <c r="F207" t="inlineStr">
        <is>
          <t>VÄSTRA GÖTALANDS LÄN</t>
        </is>
      </c>
      <c r="G207" t="inlineStr">
        <is>
          <t>SKARA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44687</v>
      </c>
      <c r="E208" s="1" t="n">
        <v>46219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Kommuner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46219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27478-2026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46189</v>
      </c>
      <c r="E210" s="1" t="n">
        <v>46219</v>
      </c>
      <c r="F210" t="inlineStr">
        <is>
          <t>VÄSTRA GÖTALANDS LÄN</t>
        </is>
      </c>
      <c r="G210" t="inlineStr">
        <is>
          <t>SKARA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46219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46219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2026-07-16T01:27:03Z</dcterms:created>
  <dcterms:modified xmlns:dcterms="http://purl.org/dc/terms/" xmlns:xsi="http://www.w3.org/2001/XMLSchema-instance" xsi:type="dcterms:W3CDTF">2026-07-16T01:27:03Z</dcterms:modified>
</cp:coreProperties>
</file>