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46292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46292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46292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46292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46292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46292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46292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46292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46292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9277-2023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44980</v>
      </c>
      <c r="E11" s="1" t="n">
        <v>46292</v>
      </c>
      <c r="F11" t="inlineStr">
        <is>
          <t>VÄSTRA GÖTALANDS LÄN</t>
        </is>
      </c>
      <c r="G11" t="inlineStr">
        <is>
          <t>SKARA</t>
        </is>
      </c>
      <c r="I11" t="n">
        <v>1.3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HYPERLINK("https://klasma.github.io/Logging_1495/artfynd/A 9277-2023 artfynd.xlsx", "A 9277-2023")</f>
        <v/>
      </c>
      <c r="X11">
        <f>HYPERLINK("https://klasma.github.io/Logging_1495/kartor/A 9277-2023 karta.png", "A 9277-2023")</f>
        <v/>
      </c>
      <c r="Y11">
        <f>HYPERLINK("https://klasma.github.io/Logging_1495/kartor_geotiff/A 9277-2023 georefererad karta.tif", "A 9277-2023")</f>
        <v/>
      </c>
      <c r="AA11">
        <f>HYPERLINK("https://klasma.github.io/Logging_1495/klagomål/A 9277-2023 FSC-klagomål.docx", "A 9277-2023")</f>
        <v/>
      </c>
      <c r="AB11">
        <f>HYPERLINK("https://klasma.github.io/Logging_1495/klagomålsmail/A 9277-2023 FSC-klagomål mail.docx", "A 9277-2023")</f>
        <v/>
      </c>
      <c r="AC11">
        <f>HYPERLINK("https://klasma.github.io/Logging_1495/tillsyn/A 9277-2023 tillsynsbegäran.docx", "A 9277-2023")</f>
        <v/>
      </c>
      <c r="AD11">
        <f>HYPERLINK("https://klasma.github.io/Logging_1495/tillsynsmail/A 9277-2023 tillsynsbegäran mail.docx", "A 9277-2023")</f>
        <v/>
      </c>
    </row>
    <row r="12" ht="15" customHeight="1">
      <c r="A12" t="inlineStr">
        <is>
          <t>A 55928-2025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46292</v>
      </c>
      <c r="F12" t="inlineStr">
        <is>
          <t>VÄSTRA GÖTALANDS LÄN</t>
        </is>
      </c>
      <c r="G12" t="inlineStr">
        <is>
          <t>SKARA</t>
        </is>
      </c>
      <c r="H12" t="inlineStr">
        <is>
          <t>Sveaskog</t>
        </is>
      </c>
      <c r="I12" t="n">
        <v>5.1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HYPERLINK("https://klasma.github.io/Logging_1495/artfynd/A 55928-2025 artfynd.xlsx", "A 55928-2025")</f>
        <v/>
      </c>
      <c r="X12">
        <f>HYPERLINK("https://klasma.github.io/Logging_1495/kartor/A 55928-2025 karta.png", "A 55928-2025")</f>
        <v/>
      </c>
      <c r="Y12">
        <f>HYPERLINK("https://klasma.github.io/Logging_1495/kartor_geotiff/A 55928-2025 georefererad karta.tif", "A 55928-2025")</f>
        <v/>
      </c>
      <c r="AA12">
        <f>HYPERLINK("https://klasma.github.io/Logging_1495/klagomål/A 55928-2025 FSC-klagomål.docx", "A 55928-2025")</f>
        <v/>
      </c>
      <c r="AB12">
        <f>HYPERLINK("https://klasma.github.io/Logging_1495/klagomålsmail/A 55928-2025 FSC-klagomål mail.docx", "A 55928-2025")</f>
        <v/>
      </c>
      <c r="AC12">
        <f>HYPERLINK("https://klasma.github.io/Logging_1495/tillsyn/A 55928-2025 tillsynsbegäran.docx", "A 55928-2025")</f>
        <v/>
      </c>
      <c r="AD12">
        <f>HYPERLINK("https://klasma.github.io/Logging_1495/tillsynsmail/A 55928-2025 tillsynsbegäran mail.docx", "A 55928-2025")</f>
        <v/>
      </c>
    </row>
    <row r="13" ht="15" customHeight="1">
      <c r="A13" t="inlineStr">
        <is>
          <t>A 19729-2026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46135</v>
      </c>
      <c r="E13" s="1" t="n">
        <v>46292</v>
      </c>
      <c r="F13" t="inlineStr">
        <is>
          <t>VÄSTRA GÖTALANDS LÄN</t>
        </is>
      </c>
      <c r="G13" t="inlineStr">
        <is>
          <t>SKARA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HYPERLINK("https://klasma.github.io/Logging_1495/artfynd/A 19729-2026 artfynd.xlsx", "A 19729-2026")</f>
        <v/>
      </c>
      <c r="X13">
        <f>HYPERLINK("https://klasma.github.io/Logging_1495/kartor/A 19729-2026 karta.png", "A 19729-2026")</f>
        <v/>
      </c>
      <c r="Y13">
        <f>HYPERLINK("https://klasma.github.io/Logging_1495/kartor_geotiff/A 19729-2026 georefererad karta.tif", "A 19729-2026")</f>
        <v/>
      </c>
      <c r="AA13">
        <f>HYPERLINK("https://klasma.github.io/Logging_1495/klagomål/A 19729-2026 FSC-klagomål.docx", "A 19729-2026")</f>
        <v/>
      </c>
      <c r="AB13">
        <f>HYPERLINK("https://klasma.github.io/Logging_1495/klagomålsmail/A 19729-2026 FSC-klagomål mail.docx", "A 19729-2026")</f>
        <v/>
      </c>
      <c r="AC13">
        <f>HYPERLINK("https://klasma.github.io/Logging_1495/tillsyn/A 19729-2026 tillsynsbegäran.docx", "A 19729-2026")</f>
        <v/>
      </c>
      <c r="AD13">
        <f>HYPERLINK("https://klasma.github.io/Logging_1495/tillsynsmail/A 19729-2026 tillsynsbegäran mail.docx", "A 19729-2026")</f>
        <v/>
      </c>
    </row>
    <row r="14" ht="15" customHeight="1">
      <c r="A14" t="inlineStr">
        <is>
          <t>A 30080-2023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45110</v>
      </c>
      <c r="E14" s="1" t="n">
        <v>46292</v>
      </c>
      <c r="F14" t="inlineStr">
        <is>
          <t>VÄSTRA GÖTALANDS LÄN</t>
        </is>
      </c>
      <c r="G14" t="inlineStr">
        <is>
          <t>SKARA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HYPERLINK("https://klasma.github.io/Logging_1495/artfynd/A 30080-2023 artfynd.xlsx", "A 30080-2023")</f>
        <v/>
      </c>
      <c r="X14">
        <f>HYPERLINK("https://klasma.github.io/Logging_1495/kartor/A 30080-2023 karta.png", "A 30080-2023")</f>
        <v/>
      </c>
      <c r="Y14">
        <f>HYPERLINK("https://klasma.github.io/Logging_1495/kartor_geotiff/A 30080-2023 georefererad karta.tif", "A 30080-2023")</f>
        <v/>
      </c>
      <c r="AA14">
        <f>HYPERLINK("https://klasma.github.io/Logging_1495/klagomål/A 30080-2023 FSC-klagomål.docx", "A 30080-2023")</f>
        <v/>
      </c>
      <c r="AB14">
        <f>HYPERLINK("https://klasma.github.io/Logging_1495/klagomålsmail/A 30080-2023 FSC-klagomål mail.docx", "A 30080-2023")</f>
        <v/>
      </c>
      <c r="AC14">
        <f>HYPERLINK("https://klasma.github.io/Logging_1495/tillsyn/A 30080-2023 tillsynsbegäran.docx", "A 30080-2023")</f>
        <v/>
      </c>
      <c r="AD14">
        <f>HYPERLINK("https://klasma.github.io/Logging_1495/tillsynsmail/A 30080-2023 tillsynsbegäran mail.docx", "A 30080-2023")</f>
        <v/>
      </c>
    </row>
    <row r="15" ht="15" customHeight="1">
      <c r="A15" t="inlineStr">
        <is>
          <t>A 23455-2026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46292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HYPERLINK("https://klasma.github.io/Logging_1495/artfynd/A 23455-2026 artfynd.xlsx", "A 23455-2026")</f>
        <v/>
      </c>
      <c r="X15">
        <f>HYPERLINK("https://klasma.github.io/Logging_1495/kartor/A 23455-2026 karta.png", "A 23455-2026")</f>
        <v/>
      </c>
      <c r="Y15">
        <f>HYPERLINK("https://klasma.github.io/Logging_1495/kartor_geotiff/A 23455-2026 georefererad karta.tif", "A 23455-2026")</f>
        <v/>
      </c>
      <c r="AA15">
        <f>HYPERLINK("https://klasma.github.io/Logging_1495/klagomål/A 23455-2026 FSC-klagomål.docx", "A 23455-2026")</f>
        <v/>
      </c>
      <c r="AB15">
        <f>HYPERLINK("https://klasma.github.io/Logging_1495/klagomålsmail/A 23455-2026 FSC-klagomål mail.docx", "A 23455-2026")</f>
        <v/>
      </c>
      <c r="AC15">
        <f>HYPERLINK("https://klasma.github.io/Logging_1495/tillsyn/A 23455-2026 tillsynsbegäran.docx", "A 23455-2026")</f>
        <v/>
      </c>
      <c r="AD15">
        <f>HYPERLINK("https://klasma.github.io/Logging_1495/tillsynsmail/A 23455-2026 tillsynsbegäran mail.docx", "A 23455-2026")</f>
        <v/>
      </c>
    </row>
    <row r="16" ht="15" customHeight="1">
      <c r="A16" t="inlineStr">
        <is>
          <t>A 20063-2025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45772</v>
      </c>
      <c r="E16" s="1" t="n">
        <v>46292</v>
      </c>
      <c r="F16" t="inlineStr">
        <is>
          <t>VÄSTRA GÖTALANDS LÄN</t>
        </is>
      </c>
      <c r="G16" t="inlineStr">
        <is>
          <t>SKARA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Skinntagging</t>
        </is>
      </c>
      <c r="W16">
        <f>HYPERLINK("https://klasma.github.io/Logging_1495/artfynd/A 20063-2025 artfynd.xlsx", "A 20063-2025")</f>
        <v/>
      </c>
      <c r="X16">
        <f>HYPERLINK("https://klasma.github.io/Logging_1495/kartor/A 20063-2025 karta.png", "A 20063-2025")</f>
        <v/>
      </c>
      <c r="Y16">
        <f>HYPERLINK("https://klasma.github.io/Logging_1495/kartor_geotiff/A 20063-2025 georefererad karta.tif", "A 20063-2025")</f>
        <v/>
      </c>
      <c r="AA16">
        <f>HYPERLINK("https://klasma.github.io/Logging_1495/klagomål/A 20063-2025 FSC-klagomål.docx", "A 20063-2025")</f>
        <v/>
      </c>
      <c r="AB16">
        <f>HYPERLINK("https://klasma.github.io/Logging_1495/klagomålsmail/A 20063-2025 FSC-klagomål mail.docx", "A 20063-2025")</f>
        <v/>
      </c>
      <c r="AC16">
        <f>HYPERLINK("https://klasma.github.io/Logging_1495/tillsyn/A 20063-2025 tillsynsbegäran.docx", "A 20063-2025")</f>
        <v/>
      </c>
      <c r="AD16">
        <f>HYPERLINK("https://klasma.github.io/Logging_1495/tillsynsmail/A 20063-2025 tillsynsbegäran mail.docx", "A 20063-2025")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46292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46292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46292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46292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46292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46292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46292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46292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46292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46292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46292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46292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46292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46292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46292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46292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46292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46292</v>
      </c>
      <c r="F34" t="inlineStr">
        <is>
          <t>VÄSTRA GÖTALANDS LÄN</t>
        </is>
      </c>
      <c r="G34" t="inlineStr">
        <is>
          <t>SKARA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46292</v>
      </c>
      <c r="F35" t="inlineStr">
        <is>
          <t>VÄSTRA GÖTALANDS LÄN</t>
        </is>
      </c>
      <c r="G35" t="inlineStr">
        <is>
          <t>SKARA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46292</v>
      </c>
      <c r="F36" t="inlineStr">
        <is>
          <t>VÄSTRA GÖTALANDS LÄN</t>
        </is>
      </c>
      <c r="G36" t="inlineStr">
        <is>
          <t>SKARA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46292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62890-2023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45272</v>
      </c>
      <c r="E38" s="1" t="n">
        <v>46292</v>
      </c>
      <c r="F38" t="inlineStr">
        <is>
          <t>VÄSTRA GÖTALANDS LÄN</t>
        </is>
      </c>
      <c r="G38" t="inlineStr">
        <is>
          <t>SKARA</t>
        </is>
      </c>
      <c r="I38" t="n">
        <v>7.6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45335</v>
      </c>
      <c r="E39" s="1" t="n">
        <v>46292</v>
      </c>
      <c r="F39" t="inlineStr">
        <is>
          <t>VÄSTRA GÖTALANDS LÄN</t>
        </is>
      </c>
      <c r="G39" t="inlineStr">
        <is>
          <t>SKARA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14844-2024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45398</v>
      </c>
      <c r="E40" s="1" t="n">
        <v>46292</v>
      </c>
      <c r="F40" t="inlineStr">
        <is>
          <t>VÄSTRA GÖTALANDS LÄN</t>
        </is>
      </c>
      <c r="G40" t="inlineStr">
        <is>
          <t>SKARA</t>
        </is>
      </c>
      <c r="H40" t="inlineStr">
        <is>
          <t>Kommuner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44856</v>
      </c>
      <c r="E41" s="1" t="n">
        <v>46292</v>
      </c>
      <c r="F41" t="inlineStr">
        <is>
          <t>VÄSTRA GÖTALANDS LÄN</t>
        </is>
      </c>
      <c r="G41" t="inlineStr">
        <is>
          <t>SKARA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44860</v>
      </c>
      <c r="E42" s="1" t="n">
        <v>46292</v>
      </c>
      <c r="F42" t="inlineStr">
        <is>
          <t>VÄSTRA GÖTALANDS LÄN</t>
        </is>
      </c>
      <c r="G42" t="inlineStr">
        <is>
          <t>SKARA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57258-2022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44895</v>
      </c>
      <c r="E43" s="1" t="n">
        <v>46292</v>
      </c>
      <c r="F43" t="inlineStr">
        <is>
          <t>VÄSTRA GÖTALANDS LÄN</t>
        </is>
      </c>
      <c r="G43" t="inlineStr">
        <is>
          <t>SKARA</t>
        </is>
      </c>
      <c r="I43" t="n">
        <v>4.3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45288</v>
      </c>
      <c r="E44" s="1" t="n">
        <v>46292</v>
      </c>
      <c r="F44" t="inlineStr">
        <is>
          <t>VÄSTRA GÖTALANDS LÄN</t>
        </is>
      </c>
      <c r="G44" t="inlineStr">
        <is>
          <t>SKARA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60654-2021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46292</v>
      </c>
      <c r="F45" t="inlineStr">
        <is>
          <t>VÄSTRA GÖTALANDS LÄN</t>
        </is>
      </c>
      <c r="G45" t="inlineStr">
        <is>
          <t>SKARA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46292</v>
      </c>
      <c r="F46" t="inlineStr">
        <is>
          <t>VÄSTRA GÖTALANDS LÄN</t>
        </is>
      </c>
      <c r="G46" t="inlineStr">
        <is>
          <t>SKARA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46292</v>
      </c>
      <c r="F47" t="inlineStr">
        <is>
          <t>VÄSTRA GÖTALANDS LÄN</t>
        </is>
      </c>
      <c r="G47" t="inlineStr">
        <is>
          <t>SKARA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29255-2025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46292</v>
      </c>
      <c r="F48" t="inlineStr">
        <is>
          <t>VÄSTRA GÖTALANDS LÄN</t>
        </is>
      </c>
      <c r="G48" t="inlineStr">
        <is>
          <t>SKARA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45469</v>
      </c>
      <c r="E49" s="1" t="n">
        <v>46292</v>
      </c>
      <c r="F49" t="inlineStr">
        <is>
          <t>VÄSTRA GÖTALANDS LÄN</t>
        </is>
      </c>
      <c r="G49" t="inlineStr">
        <is>
          <t>SKARA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37032-2025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45874</v>
      </c>
      <c r="E50" s="1" t="n">
        <v>46292</v>
      </c>
      <c r="F50" t="inlineStr">
        <is>
          <t>VÄSTRA GÖTALANDS LÄN</t>
        </is>
      </c>
      <c r="G50" t="inlineStr">
        <is>
          <t>SKARA</t>
        </is>
      </c>
      <c r="I50" t="n">
        <v>5.9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39494-2025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46292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45889</v>
      </c>
      <c r="E52" s="1" t="n">
        <v>46292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39367-2025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45889</v>
      </c>
      <c r="E53" s="1" t="n">
        <v>46292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39492-2025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45890</v>
      </c>
      <c r="E54" s="1" t="n">
        <v>46292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25219-2025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45800</v>
      </c>
      <c r="E55" s="1" t="n">
        <v>46292</v>
      </c>
      <c r="F55" t="inlineStr">
        <is>
          <t>VÄSTRA GÖTALANDS LÄN</t>
        </is>
      </c>
      <c r="G55" t="inlineStr">
        <is>
          <t>SKARA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25176-2023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45086</v>
      </c>
      <c r="E56" s="1" t="n">
        <v>46292</v>
      </c>
      <c r="F56" t="inlineStr">
        <is>
          <t>VÄSTRA GÖTALANDS LÄN</t>
        </is>
      </c>
      <c r="G56" t="inlineStr">
        <is>
          <t>SKARA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44587</v>
      </c>
      <c r="E57" s="1" t="n">
        <v>46292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7522-2026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46059</v>
      </c>
      <c r="E58" s="1" t="n">
        <v>46292</v>
      </c>
      <c r="F58" t="inlineStr">
        <is>
          <t>VÄSTRA GÖTALANDS LÄN</t>
        </is>
      </c>
      <c r="G58" t="inlineStr">
        <is>
          <t>SKARA</t>
        </is>
      </c>
      <c r="I58" t="n">
        <v>8.4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46059</v>
      </c>
      <c r="E59" s="1" t="n">
        <v>46292</v>
      </c>
      <c r="F59" t="inlineStr">
        <is>
          <t>VÄSTRA GÖTALANDS LÄN</t>
        </is>
      </c>
      <c r="G59" t="inlineStr">
        <is>
          <t>SKARA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46292</v>
      </c>
      <c r="F60" t="inlineStr">
        <is>
          <t>VÄSTRA GÖTALANDS LÄN</t>
        </is>
      </c>
      <c r="G60" t="inlineStr">
        <is>
          <t>SKARA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46292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46292</v>
      </c>
      <c r="F62" t="inlineStr">
        <is>
          <t>VÄSTRA GÖTALANDS LÄN</t>
        </is>
      </c>
      <c r="G62" t="inlineStr">
        <is>
          <t>SKARA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46292</v>
      </c>
      <c r="F63" t="inlineStr">
        <is>
          <t>VÄSTRA GÖTALANDS LÄN</t>
        </is>
      </c>
      <c r="G63" t="inlineStr">
        <is>
          <t>SKARA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46292</v>
      </c>
      <c r="F64" t="inlineStr">
        <is>
          <t>VÄSTRA GÖTALANDS LÄN</t>
        </is>
      </c>
      <c r="G64" t="inlineStr">
        <is>
          <t>SKARA</t>
        </is>
      </c>
      <c r="H64" t="inlineStr">
        <is>
          <t>Kyrkan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46292</v>
      </c>
      <c r="F65" t="inlineStr">
        <is>
          <t>VÄSTRA GÖTALANDS LÄN</t>
        </is>
      </c>
      <c r="G65" t="inlineStr">
        <is>
          <t>SKARA</t>
        </is>
      </c>
      <c r="H65" t="inlineStr">
        <is>
          <t>Kyrkan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45924</v>
      </c>
      <c r="E66" s="1" t="n">
        <v>46292</v>
      </c>
      <c r="F66" t="inlineStr">
        <is>
          <t>VÄSTRA GÖTALANDS LÄN</t>
        </is>
      </c>
      <c r="G66" t="inlineStr">
        <is>
          <t>SKARA</t>
        </is>
      </c>
      <c r="H66" t="inlineStr">
        <is>
          <t>Kyrkan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16510-2024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45408</v>
      </c>
      <c r="E67" s="1" t="n">
        <v>46292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9691-2026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46072</v>
      </c>
      <c r="E68" s="1" t="n">
        <v>46292</v>
      </c>
      <c r="F68" t="inlineStr">
        <is>
          <t>VÄSTRA GÖTALANDS LÄN</t>
        </is>
      </c>
      <c r="G68" t="inlineStr">
        <is>
          <t>SKARA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47010-2025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45929</v>
      </c>
      <c r="E69" s="1" t="n">
        <v>46292</v>
      </c>
      <c r="F69" t="inlineStr">
        <is>
          <t>VÄSTRA GÖTALANDS LÄN</t>
        </is>
      </c>
      <c r="G69" t="inlineStr">
        <is>
          <t>SKARA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7946-2023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44973</v>
      </c>
      <c r="E70" s="1" t="n">
        <v>46292</v>
      </c>
      <c r="F70" t="inlineStr">
        <is>
          <t>VÄSTRA GÖTALANDS LÄN</t>
        </is>
      </c>
      <c r="G70" t="inlineStr">
        <is>
          <t>SKARA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12332-2026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46087</v>
      </c>
      <c r="E71" s="1" t="n">
        <v>46292</v>
      </c>
      <c r="F71" t="inlineStr">
        <is>
          <t>VÄSTRA GÖTALANDS LÄN</t>
        </is>
      </c>
      <c r="G71" t="inlineStr">
        <is>
          <t>SKARA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45932</v>
      </c>
      <c r="E72" s="1" t="n">
        <v>46292</v>
      </c>
      <c r="F72" t="inlineStr">
        <is>
          <t>VÄSTRA GÖTALANDS LÄN</t>
        </is>
      </c>
      <c r="G72" t="inlineStr">
        <is>
          <t>SKARA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46292</v>
      </c>
      <c r="F73" t="inlineStr">
        <is>
          <t>VÄSTRA GÖTALANDS LÄN</t>
        </is>
      </c>
      <c r="G73" t="inlineStr">
        <is>
          <t>SKARA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13276-2026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46093</v>
      </c>
      <c r="E74" s="1" t="n">
        <v>46292</v>
      </c>
      <c r="F74" t="inlineStr">
        <is>
          <t>VÄSTRA GÖTALANDS LÄN</t>
        </is>
      </c>
      <c r="G74" t="inlineStr">
        <is>
          <t>SKARA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46093</v>
      </c>
      <c r="E75" s="1" t="n">
        <v>46292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46292</v>
      </c>
      <c r="F76" t="inlineStr">
        <is>
          <t>VÄSTRA GÖTALANDS LÄN</t>
        </is>
      </c>
      <c r="G76" t="inlineStr">
        <is>
          <t>SKARA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46101</v>
      </c>
      <c r="E77" s="1" t="n">
        <v>46292</v>
      </c>
      <c r="F77" t="inlineStr">
        <is>
          <t>VÄSTRA GÖTALANDS LÄN</t>
        </is>
      </c>
      <c r="G77" t="inlineStr">
        <is>
          <t>SKARA</t>
        </is>
      </c>
      <c r="I77" t="n">
        <v>5.9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46292</v>
      </c>
      <c r="F78" t="inlineStr">
        <is>
          <t>VÄSTRA GÖTALANDS LÄN</t>
        </is>
      </c>
      <c r="G78" t="inlineStr">
        <is>
          <t>SKARA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45945</v>
      </c>
      <c r="E79" s="1" t="n">
        <v>46292</v>
      </c>
      <c r="F79" t="inlineStr">
        <is>
          <t>VÄSTRA GÖTALANDS LÄN</t>
        </is>
      </c>
      <c r="G79" t="inlineStr">
        <is>
          <t>SKARA</t>
        </is>
      </c>
      <c r="H79" t="inlineStr">
        <is>
          <t>Sveaskog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14577-2026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46101</v>
      </c>
      <c r="E80" s="1" t="n">
        <v>46292</v>
      </c>
      <c r="F80" t="inlineStr">
        <is>
          <t>VÄSTRA GÖTALANDS LÄN</t>
        </is>
      </c>
      <c r="G80" t="inlineStr">
        <is>
          <t>SKARA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14422-2026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46100</v>
      </c>
      <c r="E81" s="1" t="n">
        <v>46292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15429-2026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46292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46292</v>
      </c>
      <c r="F83" t="inlineStr">
        <is>
          <t>VÄSTRA GÖTALANDS LÄN</t>
        </is>
      </c>
      <c r="G83" t="inlineStr">
        <is>
          <t>SKARA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46292</v>
      </c>
      <c r="F84" t="inlineStr">
        <is>
          <t>VÄSTRA GÖTALANDS LÄN</t>
        </is>
      </c>
      <c r="G84" t="inlineStr">
        <is>
          <t>SKARA</t>
        </is>
      </c>
      <c r="H84" t="inlineStr">
        <is>
          <t>Sveaskog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15425-2026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46106</v>
      </c>
      <c r="E85" s="1" t="n">
        <v>46292</v>
      </c>
      <c r="F85" t="inlineStr">
        <is>
          <t>VÄSTRA GÖTALANDS LÄN</t>
        </is>
      </c>
      <c r="G85" t="inlineStr">
        <is>
          <t>SKARA</t>
        </is>
      </c>
      <c r="H85" t="inlineStr">
        <is>
          <t>Sveaskog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46108</v>
      </c>
      <c r="E86" s="1" t="n">
        <v>46292</v>
      </c>
      <c r="F86" t="inlineStr">
        <is>
          <t>VÄSTRA GÖTALANDS LÄN</t>
        </is>
      </c>
      <c r="G86" t="inlineStr">
        <is>
          <t>SKARA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16199-2026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46111</v>
      </c>
      <c r="E87" s="1" t="n">
        <v>46292</v>
      </c>
      <c r="F87" t="inlineStr">
        <is>
          <t>VÄSTRA GÖTALANDS LÄN</t>
        </is>
      </c>
      <c r="G87" t="inlineStr">
        <is>
          <t>SKARA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16201-2026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46111</v>
      </c>
      <c r="E88" s="1" t="n">
        <v>46292</v>
      </c>
      <c r="F88" t="inlineStr">
        <is>
          <t>VÄSTRA GÖTALANDS LÄN</t>
        </is>
      </c>
      <c r="G88" t="inlineStr">
        <is>
          <t>SKARA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16187-2026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46111</v>
      </c>
      <c r="E89" s="1" t="n">
        <v>46292</v>
      </c>
      <c r="F89" t="inlineStr">
        <is>
          <t>VÄSTRA GÖTALANDS LÄN</t>
        </is>
      </c>
      <c r="G89" t="inlineStr">
        <is>
          <t>SKARA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16198-2026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46111</v>
      </c>
      <c r="E90" s="1" t="n">
        <v>46292</v>
      </c>
      <c r="F90" t="inlineStr">
        <is>
          <t>VÄSTRA GÖTALANDS LÄN</t>
        </is>
      </c>
      <c r="G90" t="inlineStr">
        <is>
          <t>SKARA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45713</v>
      </c>
      <c r="E91" s="1" t="n">
        <v>46292</v>
      </c>
      <c r="F91" t="inlineStr">
        <is>
          <t>VÄSTRA GÖTALANDS LÄN</t>
        </is>
      </c>
      <c r="G91" t="inlineStr">
        <is>
          <t>SKARA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16755-2026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46113</v>
      </c>
      <c r="E92" s="1" t="n">
        <v>46292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46292</v>
      </c>
      <c r="F93" t="inlineStr">
        <is>
          <t>VÄSTRA GÖTALANDS LÄN</t>
        </is>
      </c>
      <c r="G93" t="inlineStr">
        <is>
          <t>SKARA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53527-2025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45960</v>
      </c>
      <c r="E94" s="1" t="n">
        <v>46292</v>
      </c>
      <c r="F94" t="inlineStr">
        <is>
          <t>VÄSTRA GÖTALANDS LÄN</t>
        </is>
      </c>
      <c r="G94" t="inlineStr">
        <is>
          <t>SKARA</t>
        </is>
      </c>
      <c r="H94" t="inlineStr">
        <is>
          <t>Kyrkan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46292</v>
      </c>
      <c r="F95" t="inlineStr">
        <is>
          <t>VÄSTRA GÖTALANDS LÄN</t>
        </is>
      </c>
      <c r="G95" t="inlineStr">
        <is>
          <t>SKARA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28073-2023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45099</v>
      </c>
      <c r="E96" s="1" t="n">
        <v>46292</v>
      </c>
      <c r="F96" t="inlineStr">
        <is>
          <t>VÄSTRA GÖTALANDS LÄN</t>
        </is>
      </c>
      <c r="G96" t="inlineStr">
        <is>
          <t>SKARA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60840-2021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46292</v>
      </c>
      <c r="F97" t="inlineStr">
        <is>
          <t>VÄSTRA GÖTALANDS LÄN</t>
        </is>
      </c>
      <c r="G97" t="inlineStr">
        <is>
          <t>SKARA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44957</v>
      </c>
      <c r="E98" s="1" t="n">
        <v>46292</v>
      </c>
      <c r="F98" t="inlineStr">
        <is>
          <t>VÄSTRA GÖTALANDS LÄN</t>
        </is>
      </c>
      <c r="G98" t="inlineStr">
        <is>
          <t>SKARA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37036-2024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45539</v>
      </c>
      <c r="E99" s="1" t="n">
        <v>46292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60086-2024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46292</v>
      </c>
      <c r="F100" t="inlineStr">
        <is>
          <t>VÄSTRA GÖTALANDS LÄN</t>
        </is>
      </c>
      <c r="G100" t="inlineStr">
        <is>
          <t>SKARA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56274-2025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46292</v>
      </c>
      <c r="F101" t="inlineStr">
        <is>
          <t>VÄSTRA GÖTALANDS LÄN</t>
        </is>
      </c>
      <c r="G101" t="inlineStr">
        <is>
          <t>SKARA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45817</v>
      </c>
      <c r="E102" s="1" t="n">
        <v>46292</v>
      </c>
      <c r="F102" t="inlineStr">
        <is>
          <t>VÄSTRA GÖTALANDS LÄN</t>
        </is>
      </c>
      <c r="G102" t="inlineStr">
        <is>
          <t>SKARA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44970</v>
      </c>
      <c r="E103" s="1" t="n">
        <v>46292</v>
      </c>
      <c r="F103" t="inlineStr">
        <is>
          <t>VÄSTRA GÖTALANDS LÄN</t>
        </is>
      </c>
      <c r="G103" t="inlineStr">
        <is>
          <t>SKARA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18890-2026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46129</v>
      </c>
      <c r="E104" s="1" t="n">
        <v>46292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32668-2024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45514</v>
      </c>
      <c r="E105" s="1" t="n">
        <v>46292</v>
      </c>
      <c r="F105" t="inlineStr">
        <is>
          <t>VÄSTRA GÖTALANDS LÄN</t>
        </is>
      </c>
      <c r="G105" t="inlineStr">
        <is>
          <t>SKARA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31128-2023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46292</v>
      </c>
      <c r="F106" t="inlineStr">
        <is>
          <t>VÄSTRA GÖTALANDS LÄN</t>
        </is>
      </c>
      <c r="G106" t="inlineStr">
        <is>
          <t>SKARA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45883</v>
      </c>
      <c r="E107" s="1" t="n">
        <v>46292</v>
      </c>
      <c r="F107" t="inlineStr">
        <is>
          <t>VÄSTRA GÖTALANDS LÄN</t>
        </is>
      </c>
      <c r="G107" t="inlineStr">
        <is>
          <t>SKARA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45699</v>
      </c>
      <c r="E108" s="1" t="n">
        <v>46292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46292</v>
      </c>
      <c r="F109" t="inlineStr">
        <is>
          <t>VÄSTRA GÖTALANDS LÄN</t>
        </is>
      </c>
      <c r="G109" t="inlineStr">
        <is>
          <t>SKARA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44990</v>
      </c>
      <c r="E110" s="1" t="n">
        <v>46292</v>
      </c>
      <c r="F110" t="inlineStr">
        <is>
          <t>VÄSTRA GÖTALANDS LÄN</t>
        </is>
      </c>
      <c r="G110" t="inlineStr">
        <is>
          <t>SKARA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3144-2023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44946</v>
      </c>
      <c r="E111" s="1" t="n">
        <v>46292</v>
      </c>
      <c r="F111" t="inlineStr">
        <is>
          <t>VÄSTRA GÖTALANDS LÄN</t>
        </is>
      </c>
      <c r="G111" t="inlineStr">
        <is>
          <t>SKARA</t>
        </is>
      </c>
      <c r="I111" t="n">
        <v>7.3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46292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42874-2022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44832</v>
      </c>
      <c r="E113" s="1" t="n">
        <v>46292</v>
      </c>
      <c r="F113" t="inlineStr">
        <is>
          <t>VÄSTRA GÖTALANDS LÄN</t>
        </is>
      </c>
      <c r="G113" t="inlineStr">
        <is>
          <t>SKARA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61324-2025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46001</v>
      </c>
      <c r="E114" s="1" t="n">
        <v>46292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45091</v>
      </c>
      <c r="E115" s="1" t="n">
        <v>46292</v>
      </c>
      <c r="F115" t="inlineStr">
        <is>
          <t>VÄSTRA GÖTALANDS LÄN</t>
        </is>
      </c>
      <c r="G115" t="inlineStr">
        <is>
          <t>SKARA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45800</v>
      </c>
      <c r="E116" s="1" t="n">
        <v>46292</v>
      </c>
      <c r="F116" t="inlineStr">
        <is>
          <t>VÄSTRA GÖTALANDS LÄN</t>
        </is>
      </c>
      <c r="G116" t="inlineStr">
        <is>
          <t>SKARA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45667</v>
      </c>
      <c r="E117" s="1" t="n">
        <v>46292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46008</v>
      </c>
      <c r="E118" s="1" t="n">
        <v>46292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Kyrkan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28738-2025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45820</v>
      </c>
      <c r="E119" s="1" t="n">
        <v>46292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45288</v>
      </c>
      <c r="E120" s="1" t="n">
        <v>46292</v>
      </c>
      <c r="F120" t="inlineStr">
        <is>
          <t>VÄSTRA GÖTALANDS LÄN</t>
        </is>
      </c>
      <c r="G120" t="inlineStr">
        <is>
          <t>SKARA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45110</v>
      </c>
      <c r="E121" s="1" t="n">
        <v>46292</v>
      </c>
      <c r="F121" t="inlineStr">
        <is>
          <t>VÄSTRA GÖTALANDS LÄN</t>
        </is>
      </c>
      <c r="G121" t="inlineStr">
        <is>
          <t>SKARA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45043</v>
      </c>
      <c r="E122" s="1" t="n">
        <v>46292</v>
      </c>
      <c r="F122" t="inlineStr">
        <is>
          <t>VÄSTRA GÖTALANDS LÄN</t>
        </is>
      </c>
      <c r="G122" t="inlineStr">
        <is>
          <t>SKARA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46292</v>
      </c>
      <c r="F123" t="inlineStr">
        <is>
          <t>VÄSTRA GÖTALANDS LÄN</t>
        </is>
      </c>
      <c r="G123" t="inlineStr">
        <is>
          <t>SKARA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45492</v>
      </c>
      <c r="E124" s="1" t="n">
        <v>46292</v>
      </c>
      <c r="F124" t="inlineStr">
        <is>
          <t>VÄSTRA GÖTALANDS LÄN</t>
        </is>
      </c>
      <c r="G124" t="inlineStr">
        <is>
          <t>SKARA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59842-2022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44908</v>
      </c>
      <c r="E125" s="1" t="n">
        <v>46292</v>
      </c>
      <c r="F125" t="inlineStr">
        <is>
          <t>VÄSTRA GÖTALANDS LÄN</t>
        </is>
      </c>
      <c r="G125" t="inlineStr">
        <is>
          <t>SKARA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45110</v>
      </c>
      <c r="E126" s="1" t="n">
        <v>46292</v>
      </c>
      <c r="F126" t="inlineStr">
        <is>
          <t>VÄSTRA GÖTALANDS LÄN</t>
        </is>
      </c>
      <c r="G126" t="inlineStr">
        <is>
          <t>SKARA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36041-2023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45149</v>
      </c>
      <c r="E127" s="1" t="n">
        <v>46292</v>
      </c>
      <c r="F127" t="inlineStr">
        <is>
          <t>VÄSTRA GÖTALANDS LÄN</t>
        </is>
      </c>
      <c r="G127" t="inlineStr">
        <is>
          <t>SKARA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36045-2023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45149</v>
      </c>
      <c r="E128" s="1" t="n">
        <v>46292</v>
      </c>
      <c r="F128" t="inlineStr">
        <is>
          <t>VÄSTRA GÖTALANDS LÄN</t>
        </is>
      </c>
      <c r="G128" t="inlineStr">
        <is>
          <t>SKARA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32844-2025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45839</v>
      </c>
      <c r="E129" s="1" t="n">
        <v>46292</v>
      </c>
      <c r="F129" t="inlineStr">
        <is>
          <t>VÄSTRA GÖTALANDS LÄN</t>
        </is>
      </c>
      <c r="G129" t="inlineStr">
        <is>
          <t>SKARA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32850-2025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45839</v>
      </c>
      <c r="E130" s="1" t="n">
        <v>46292</v>
      </c>
      <c r="F130" t="inlineStr">
        <is>
          <t>VÄSTRA GÖTALANDS LÄN</t>
        </is>
      </c>
      <c r="G130" t="inlineStr">
        <is>
          <t>SKARA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30019-2023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45109</v>
      </c>
      <c r="E131" s="1" t="n">
        <v>46292</v>
      </c>
      <c r="F131" t="inlineStr">
        <is>
          <t>VÄSTRA GÖTALANDS LÄN</t>
        </is>
      </c>
      <c r="G131" t="inlineStr">
        <is>
          <t>SKARA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44953</v>
      </c>
      <c r="E132" s="1" t="n">
        <v>46292</v>
      </c>
      <c r="F132" t="inlineStr">
        <is>
          <t>VÄSTRA GÖTALANDS LÄN</t>
        </is>
      </c>
      <c r="G132" t="inlineStr">
        <is>
          <t>SKARA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46292</v>
      </c>
      <c r="F133" t="inlineStr">
        <is>
          <t>VÄSTRA GÖTALANDS LÄN</t>
        </is>
      </c>
      <c r="G133" t="inlineStr">
        <is>
          <t>SKARA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46292</v>
      </c>
      <c r="F134" t="inlineStr">
        <is>
          <t>VÄSTRA GÖTALANDS LÄN</t>
        </is>
      </c>
      <c r="G134" t="inlineStr">
        <is>
          <t>SKARA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33095-2025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45840</v>
      </c>
      <c r="E135" s="1" t="n">
        <v>46292</v>
      </c>
      <c r="F135" t="inlineStr">
        <is>
          <t>VÄSTRA GÖTALANDS LÄN</t>
        </is>
      </c>
      <c r="G135" t="inlineStr">
        <is>
          <t>SKARA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30479-2023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45111</v>
      </c>
      <c r="E136" s="1" t="n">
        <v>46292</v>
      </c>
      <c r="F136" t="inlineStr">
        <is>
          <t>VÄSTRA GÖTALANDS LÄN</t>
        </is>
      </c>
      <c r="G136" t="inlineStr">
        <is>
          <t>SKARA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23457-2026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46163</v>
      </c>
      <c r="E137" s="1" t="n">
        <v>46292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23452-2026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46163</v>
      </c>
      <c r="E138" s="1" t="n">
        <v>46292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24142-2026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46168</v>
      </c>
      <c r="E139" s="1" t="n">
        <v>46292</v>
      </c>
      <c r="F139" t="inlineStr">
        <is>
          <t>VÄSTRA GÖTALANDS LÄN</t>
        </is>
      </c>
      <c r="G139" t="inlineStr">
        <is>
          <t>SKARA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24143-2026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46168</v>
      </c>
      <c r="E140" s="1" t="n">
        <v>46292</v>
      </c>
      <c r="F140" t="inlineStr">
        <is>
          <t>VÄSTRA GÖTALANDS LÄN</t>
        </is>
      </c>
      <c r="G140" t="inlineStr">
        <is>
          <t>SKARA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45776</v>
      </c>
      <c r="E141" s="1" t="n">
        <v>46292</v>
      </c>
      <c r="F141" t="inlineStr">
        <is>
          <t>VÄSTRA GÖTALANDS LÄN</t>
        </is>
      </c>
      <c r="G141" t="inlineStr">
        <is>
          <t>SKARA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18704-2022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44687</v>
      </c>
      <c r="E142" s="1" t="n">
        <v>46292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Kommuner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60233-2023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45258</v>
      </c>
      <c r="E143" s="1" t="n">
        <v>46292</v>
      </c>
      <c r="F143" t="inlineStr">
        <is>
          <t>VÄSTRA GÖTALANDS LÄN</t>
        </is>
      </c>
      <c r="G143" t="inlineStr">
        <is>
          <t>SKARA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46168</v>
      </c>
      <c r="E144" s="1" t="n">
        <v>46292</v>
      </c>
      <c r="F144" t="inlineStr">
        <is>
          <t>VÄSTRA GÖTALANDS LÄN</t>
        </is>
      </c>
      <c r="G144" t="inlineStr">
        <is>
          <t>SKARA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45309</v>
      </c>
      <c r="E145" s="1" t="n">
        <v>46292</v>
      </c>
      <c r="F145" t="inlineStr">
        <is>
          <t>VÄSTRA GÖTALANDS LÄN</t>
        </is>
      </c>
      <c r="G145" t="inlineStr">
        <is>
          <t>SKARA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30513-2024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45492</v>
      </c>
      <c r="E146" s="1" t="n">
        <v>46292</v>
      </c>
      <c r="F146" t="inlineStr">
        <is>
          <t>VÄSTRA GÖTALANDS LÄN</t>
        </is>
      </c>
      <c r="G146" t="inlineStr">
        <is>
          <t>SKARA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46292</v>
      </c>
      <c r="F147" t="inlineStr">
        <is>
          <t>VÄSTRA GÖTALANDS LÄN</t>
        </is>
      </c>
      <c r="G147" t="inlineStr">
        <is>
          <t>SKARA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41602-2023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45175</v>
      </c>
      <c r="E148" s="1" t="n">
        <v>46292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Kommuner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46182</v>
      </c>
      <c r="E149" s="1" t="n">
        <v>46292</v>
      </c>
      <c r="F149" t="inlineStr">
        <is>
          <t>VÄSTRA GÖTALANDS LÄN</t>
        </is>
      </c>
      <c r="G149" t="inlineStr">
        <is>
          <t>SKARA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15927-2023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45022</v>
      </c>
      <c r="E150" s="1" t="n">
        <v>46292</v>
      </c>
      <c r="F150" t="inlineStr">
        <is>
          <t>VÄSTRA GÖTALANDS LÄN</t>
        </is>
      </c>
      <c r="G150" t="inlineStr">
        <is>
          <t>SKARA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45462</v>
      </c>
      <c r="E151" s="1" t="n">
        <v>46292</v>
      </c>
      <c r="F151" t="inlineStr">
        <is>
          <t>VÄSTRA GÖTALANDS LÄN</t>
        </is>
      </c>
      <c r="G151" t="inlineStr">
        <is>
          <t>SKARA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26480-2024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45469</v>
      </c>
      <c r="E152" s="1" t="n">
        <v>46292</v>
      </c>
      <c r="F152" t="inlineStr">
        <is>
          <t>VÄSTRA GÖTALANDS LÄN</t>
        </is>
      </c>
      <c r="G152" t="inlineStr">
        <is>
          <t>SKARA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26482-2024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45469</v>
      </c>
      <c r="E153" s="1" t="n">
        <v>46292</v>
      </c>
      <c r="F153" t="inlineStr">
        <is>
          <t>VÄSTRA GÖTALANDS LÄN</t>
        </is>
      </c>
      <c r="G153" t="inlineStr">
        <is>
          <t>SKARA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27478-2026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46189</v>
      </c>
      <c r="E154" s="1" t="n">
        <v>46292</v>
      </c>
      <c r="F154" t="inlineStr">
        <is>
          <t>VÄSTRA GÖTALANDS LÄN</t>
        </is>
      </c>
      <c r="G154" t="inlineStr">
        <is>
          <t>SKARA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45713</v>
      </c>
      <c r="E155" s="1" t="n">
        <v>46292</v>
      </c>
      <c r="F155" t="inlineStr">
        <is>
          <t>VÄSTRA GÖTALANDS LÄN</t>
        </is>
      </c>
      <c r="G155" t="inlineStr">
        <is>
          <t>SKARA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46185-2023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45196</v>
      </c>
      <c r="E156" s="1" t="n">
        <v>46292</v>
      </c>
      <c r="F156" t="inlineStr">
        <is>
          <t>VÄSTRA GÖTALANDS LÄN</t>
        </is>
      </c>
      <c r="G156" t="inlineStr">
        <is>
          <t>SKARA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45159-2022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44844</v>
      </c>
      <c r="E157" s="1" t="n">
        <v>46292</v>
      </c>
      <c r="F157" t="inlineStr">
        <is>
          <t>VÄSTRA GÖTALANDS LÄN</t>
        </is>
      </c>
      <c r="G157" t="inlineStr">
        <is>
          <t>SKARA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45091</v>
      </c>
      <c r="E158" s="1" t="n">
        <v>46292</v>
      </c>
      <c r="F158" t="inlineStr">
        <is>
          <t>VÄSTRA GÖTALANDS LÄN</t>
        </is>
      </c>
      <c r="G158" t="inlineStr">
        <is>
          <t>SKARA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34752-2026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46258</v>
      </c>
      <c r="E159" s="1" t="n">
        <v>46292</v>
      </c>
      <c r="F159" t="inlineStr">
        <is>
          <t>VÄSTRA GÖTALANDS LÄN</t>
        </is>
      </c>
      <c r="G159" t="inlineStr">
        <is>
          <t>SKARA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18017-2024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45420</v>
      </c>
      <c r="E160" s="1" t="n">
        <v>46292</v>
      </c>
      <c r="F160" t="inlineStr">
        <is>
          <t>VÄSTRA GÖTALANDS LÄN</t>
        </is>
      </c>
      <c r="G160" t="inlineStr">
        <is>
          <t>SKARA</t>
        </is>
      </c>
      <c r="H160" t="inlineStr">
        <is>
          <t>Sveaskog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29478-2026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46203</v>
      </c>
      <c r="E161" s="1" t="n">
        <v>46292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Kyrkan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24144-2026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46168</v>
      </c>
      <c r="E162" s="1" t="n">
        <v>46292</v>
      </c>
      <c r="F162" t="inlineStr">
        <is>
          <t>VÄSTRA GÖTALANDS LÄN</t>
        </is>
      </c>
      <c r="G162" t="inlineStr">
        <is>
          <t>SKARA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20870-2022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44701</v>
      </c>
      <c r="E163" s="1" t="n">
        <v>46292</v>
      </c>
      <c r="F163" t="inlineStr">
        <is>
          <t>VÄSTRA GÖTALANDS LÄN</t>
        </is>
      </c>
      <c r="G163" t="inlineStr">
        <is>
          <t>SKARA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20098-2022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44698</v>
      </c>
      <c r="E164" s="1" t="n">
        <v>46292</v>
      </c>
      <c r="F164" t="inlineStr">
        <is>
          <t>VÄSTRA GÖTALANDS LÄN</t>
        </is>
      </c>
      <c r="G164" t="inlineStr">
        <is>
          <t>SKARA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45299</v>
      </c>
      <c r="E165" s="1" t="n">
        <v>46292</v>
      </c>
      <c r="F165" t="inlineStr">
        <is>
          <t>VÄSTRA GÖTALANDS LÄN</t>
        </is>
      </c>
      <c r="G165" t="inlineStr">
        <is>
          <t>SKARA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45370</v>
      </c>
      <c r="E166" s="1" t="n">
        <v>46292</v>
      </c>
      <c r="F166" t="inlineStr">
        <is>
          <t>VÄSTRA GÖTALANDS LÄN</t>
        </is>
      </c>
      <c r="G166" t="inlineStr">
        <is>
          <t>SKARA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45313</v>
      </c>
      <c r="E167" s="1" t="n">
        <v>46292</v>
      </c>
      <c r="F167" t="inlineStr">
        <is>
          <t>VÄSTRA GÖTALANDS LÄN</t>
        </is>
      </c>
      <c r="G167" t="inlineStr">
        <is>
          <t>SKARA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22870-2024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45448</v>
      </c>
      <c r="E168" s="1" t="n">
        <v>46292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Sveaskog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18701-2022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44687</v>
      </c>
      <c r="E169" s="1" t="n">
        <v>46292</v>
      </c>
      <c r="F169" t="inlineStr">
        <is>
          <t>VÄSTRA GÖTALANDS LÄN</t>
        </is>
      </c>
      <c r="G169" t="inlineStr">
        <is>
          <t>SKARA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38007-2026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46280</v>
      </c>
      <c r="E170" s="1" t="n">
        <v>46292</v>
      </c>
      <c r="F170" t="inlineStr">
        <is>
          <t>VÄSTRA GÖTALANDS LÄN</t>
        </is>
      </c>
      <c r="G170" t="inlineStr">
        <is>
          <t>SKARA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46190-2023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45196</v>
      </c>
      <c r="E171" s="1" t="n">
        <v>46292</v>
      </c>
      <c r="F171" t="inlineStr">
        <is>
          <t>VÄSTRA GÖTALANDS LÄN</t>
        </is>
      </c>
      <c r="G171" t="inlineStr">
        <is>
          <t>SKARA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44827</v>
      </c>
      <c r="E172" s="1" t="n">
        <v>46292</v>
      </c>
      <c r="F172" t="inlineStr">
        <is>
          <t>VÄSTRA GÖTALANDS LÄN</t>
        </is>
      </c>
      <c r="G172" t="inlineStr">
        <is>
          <t>SKARA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2701-2024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45314</v>
      </c>
      <c r="E173" s="1" t="n">
        <v>46292</v>
      </c>
      <c r="F173" t="inlineStr">
        <is>
          <t>VÄSTRA GÖTALANDS LÄN</t>
        </is>
      </c>
      <c r="G173" t="inlineStr">
        <is>
          <t>SKARA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45687</v>
      </c>
      <c r="E174" s="1" t="n">
        <v>46292</v>
      </c>
      <c r="F174" t="inlineStr">
        <is>
          <t>VÄSTRA GÖTALANDS LÄN</t>
        </is>
      </c>
      <c r="G174" t="inlineStr">
        <is>
          <t>SKARA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44909</v>
      </c>
      <c r="E175" s="1" t="n">
        <v>46292</v>
      </c>
      <c r="F175" t="inlineStr">
        <is>
          <t>VÄSTRA GÖTALANDS LÄN</t>
        </is>
      </c>
      <c r="G175" t="inlineStr">
        <is>
          <t>SKARA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45385</v>
      </c>
      <c r="E176" s="1" t="n">
        <v>46292</v>
      </c>
      <c r="F176" t="inlineStr">
        <is>
          <t>VÄSTRA GÖTALANDS LÄN</t>
        </is>
      </c>
      <c r="G176" t="inlineStr">
        <is>
          <t>SKARA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44995</v>
      </c>
      <c r="E177" s="1" t="n">
        <v>46292</v>
      </c>
      <c r="F177" t="inlineStr">
        <is>
          <t>VÄSTRA GÖTALANDS LÄN</t>
        </is>
      </c>
      <c r="G177" t="inlineStr">
        <is>
          <t>SKARA</t>
        </is>
      </c>
      <c r="I177" t="n">
        <v>13.5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46292</v>
      </c>
      <c r="F178" t="inlineStr">
        <is>
          <t>VÄSTRA GÖTALANDS LÄN</t>
        </is>
      </c>
      <c r="G178" t="inlineStr">
        <is>
          <t>SKARA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38149-2026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46281</v>
      </c>
      <c r="E179" s="1" t="n">
        <v>46292</v>
      </c>
      <c r="F179" t="inlineStr">
        <is>
          <t>VÄSTRA GÖTALANDS LÄN</t>
        </is>
      </c>
      <c r="G179" t="inlineStr">
        <is>
          <t>SKARA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45215</v>
      </c>
      <c r="E180" s="1" t="n">
        <v>46292</v>
      </c>
      <c r="F180" t="inlineStr">
        <is>
          <t>VÄSTRA GÖTALANDS LÄN</t>
        </is>
      </c>
      <c r="G180" t="inlineStr">
        <is>
          <t>SKARA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46288</v>
      </c>
      <c r="E181" s="1" t="n">
        <v>46292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39265-2026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46288</v>
      </c>
      <c r="E182" s="1" t="n">
        <v>46292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38146-2026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46281</v>
      </c>
      <c r="E183" s="1" t="n">
        <v>46292</v>
      </c>
      <c r="F183" t="inlineStr">
        <is>
          <t>VÄSTRA GÖTALANDS LÄN</t>
        </is>
      </c>
      <c r="G183" t="inlineStr">
        <is>
          <t>SKARA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64551-2023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46292</v>
      </c>
      <c r="F184" t="inlineStr">
        <is>
          <t>VÄSTRA GÖTALANDS LÄN</t>
        </is>
      </c>
      <c r="G184" t="inlineStr">
        <is>
          <t>SKARA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38205-2022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46292</v>
      </c>
      <c r="F185" t="inlineStr">
        <is>
          <t>VÄSTRA GÖTALANDS LÄN</t>
        </is>
      </c>
      <c r="G185" t="inlineStr">
        <is>
          <t>SKARA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34569-2023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45140</v>
      </c>
      <c r="E186" s="1" t="n">
        <v>46292</v>
      </c>
      <c r="F186" t="inlineStr">
        <is>
          <t>VÄSTRA GÖTALANDS LÄN</t>
        </is>
      </c>
      <c r="G186" t="inlineStr">
        <is>
          <t>SKARA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39888-2026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46290</v>
      </c>
      <c r="E187" s="1" t="n">
        <v>46292</v>
      </c>
      <c r="F187" t="inlineStr">
        <is>
          <t>VÄSTRA GÖTALANDS LÄN</t>
        </is>
      </c>
      <c r="G187" t="inlineStr">
        <is>
          <t>SKARA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44995</v>
      </c>
      <c r="E188" s="1" t="n">
        <v>46292</v>
      </c>
      <c r="F188" t="inlineStr">
        <is>
          <t>VÄSTRA GÖTALANDS LÄN</t>
        </is>
      </c>
      <c r="G188" t="inlineStr">
        <is>
          <t>SKARA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46246</v>
      </c>
      <c r="E189" s="1" t="n">
        <v>46292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Sveaskog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45224</v>
      </c>
      <c r="E190" s="1" t="n">
        <v>46292</v>
      </c>
      <c r="F190" t="inlineStr">
        <is>
          <t>VÄSTRA GÖTALANDS LÄN</t>
        </is>
      </c>
      <c r="G190" t="inlineStr">
        <is>
          <t>SKARA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46247</v>
      </c>
      <c r="E191" s="1" t="n">
        <v>46292</v>
      </c>
      <c r="F191" t="inlineStr">
        <is>
          <t>VÄSTRA GÖTALANDS LÄN</t>
        </is>
      </c>
      <c r="G191" t="inlineStr">
        <is>
          <t>SKARA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46246</v>
      </c>
      <c r="E192" s="1" t="n">
        <v>46292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Kyrkan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64553-2023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46292</v>
      </c>
      <c r="F193" t="inlineStr">
        <is>
          <t>VÄSTRA GÖTALANDS LÄN</t>
        </is>
      </c>
      <c r="G193" t="inlineStr">
        <is>
          <t>SKARA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44937</v>
      </c>
      <c r="E194" s="1" t="n">
        <v>46292</v>
      </c>
      <c r="F194" t="inlineStr">
        <is>
          <t>VÄSTRA GÖTALANDS LÄN</t>
        </is>
      </c>
      <c r="G194" t="inlineStr">
        <is>
          <t>SKARA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35217-2023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45145</v>
      </c>
      <c r="E195" s="1" t="n">
        <v>46292</v>
      </c>
      <c r="F195" t="inlineStr">
        <is>
          <t>VÄSTRA GÖTALANDS LÄN</t>
        </is>
      </c>
      <c r="G195" t="inlineStr">
        <is>
          <t>SKARA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20470-2024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45435</v>
      </c>
      <c r="E196" s="1" t="n">
        <v>46292</v>
      </c>
      <c r="F196" t="inlineStr">
        <is>
          <t>VÄSTRA GÖTALANDS LÄN</t>
        </is>
      </c>
      <c r="G196" t="inlineStr">
        <is>
          <t>SKARA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12889-2022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44642</v>
      </c>
      <c r="E197" s="1" t="n">
        <v>46292</v>
      </c>
      <c r="F197" t="inlineStr">
        <is>
          <t>VÄSTRA GÖTALANDS LÄN</t>
        </is>
      </c>
      <c r="G197" t="inlineStr">
        <is>
          <t>SKARA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45091</v>
      </c>
      <c r="E198" s="1" t="n">
        <v>46292</v>
      </c>
      <c r="F198" t="inlineStr">
        <is>
          <t>VÄSTRA GÖTALANDS LÄN</t>
        </is>
      </c>
      <c r="G198" t="inlineStr">
        <is>
          <t>SKARA</t>
        </is>
      </c>
      <c r="I198" t="n">
        <v>21.6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45224</v>
      </c>
      <c r="E199" s="1" t="n">
        <v>46292</v>
      </c>
      <c r="F199" t="inlineStr">
        <is>
          <t>VÄSTRA GÖTALANDS LÄN</t>
        </is>
      </c>
      <c r="G199" t="inlineStr">
        <is>
          <t>SKARA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45156</v>
      </c>
      <c r="E200" s="1" t="n">
        <v>46292</v>
      </c>
      <c r="F200" t="inlineStr">
        <is>
          <t>VÄSTRA GÖTALANDS LÄN</t>
        </is>
      </c>
      <c r="G200" t="inlineStr">
        <is>
          <t>SKARA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46292</v>
      </c>
      <c r="F201" t="inlineStr">
        <is>
          <t>VÄSTRA GÖTALANDS LÄN</t>
        </is>
      </c>
      <c r="G201" t="inlineStr">
        <is>
          <t>SKARA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45621</v>
      </c>
      <c r="E202" s="1" t="n">
        <v>46292</v>
      </c>
      <c r="F202" t="inlineStr">
        <is>
          <t>VÄSTRA GÖTALANDS LÄN</t>
        </is>
      </c>
      <c r="G202" t="inlineStr">
        <is>
          <t>SKARA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45299</v>
      </c>
      <c r="E203" s="1" t="n">
        <v>46292</v>
      </c>
      <c r="F203" t="inlineStr">
        <is>
          <t>VÄSTRA GÖTALANDS LÄN</t>
        </is>
      </c>
      <c r="G203" t="inlineStr">
        <is>
          <t>SKARA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8781-2024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45356</v>
      </c>
      <c r="E204" s="1" t="n">
        <v>46292</v>
      </c>
      <c r="F204" t="inlineStr">
        <is>
          <t>VÄSTRA GÖTALANDS LÄN</t>
        </is>
      </c>
      <c r="G204" t="inlineStr">
        <is>
          <t>SKARA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44887</v>
      </c>
      <c r="E205" s="1" t="n">
        <v>46292</v>
      </c>
      <c r="F205" t="inlineStr">
        <is>
          <t>VÄSTRA GÖTALANDS LÄN</t>
        </is>
      </c>
      <c r="G205" t="inlineStr">
        <is>
          <t>SKARA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44743</v>
      </c>
      <c r="E206" s="1" t="n">
        <v>46292</v>
      </c>
      <c r="F206" t="inlineStr">
        <is>
          <t>VÄSTRA GÖTALANDS LÄN</t>
        </is>
      </c>
      <c r="G206" t="inlineStr">
        <is>
          <t>SKARA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56922-2024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45628</v>
      </c>
      <c r="E207" s="1" t="n">
        <v>46292</v>
      </c>
      <c r="F207" t="inlineStr">
        <is>
          <t>VÄSTRA GÖTALANDS LÄN</t>
        </is>
      </c>
      <c r="G207" t="inlineStr">
        <is>
          <t>SKARA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8701-2023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44978</v>
      </c>
      <c r="E208" s="1" t="n">
        <v>46292</v>
      </c>
      <c r="F208" t="inlineStr">
        <is>
          <t>VÄSTRA GÖTALANDS LÄN</t>
        </is>
      </c>
      <c r="G208" t="inlineStr">
        <is>
          <t>SKARA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17705-2025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45758</v>
      </c>
      <c r="E209" s="1" t="n">
        <v>46292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Sveaskog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45758</v>
      </c>
      <c r="E210" s="1" t="n">
        <v>46292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Sveaskog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2590-2024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45313</v>
      </c>
      <c r="E211" s="1" t="n">
        <v>46292</v>
      </c>
      <c r="F211" t="inlineStr">
        <is>
          <t>VÄSTRA GÖTALANDS LÄN</t>
        </is>
      </c>
      <c r="G211" t="inlineStr">
        <is>
          <t>SKARA</t>
        </is>
      </c>
      <c r="I211" t="n">
        <v>11.7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59841-2024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45639</v>
      </c>
      <c r="E212" s="1" t="n">
        <v>46292</v>
      </c>
      <c r="F212" t="inlineStr">
        <is>
          <t>VÄSTRA GÖTALANDS LÄN</t>
        </is>
      </c>
      <c r="G212" t="inlineStr">
        <is>
          <t>SKARA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49435-2024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45595</v>
      </c>
      <c r="E213" s="1" t="n">
        <v>46292</v>
      </c>
      <c r="F213" t="inlineStr">
        <is>
          <t>VÄSTRA GÖTALANDS LÄN</t>
        </is>
      </c>
      <c r="G213" t="inlineStr">
        <is>
          <t>SKARA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45635</v>
      </c>
      <c r="E214" s="1" t="n">
        <v>46292</v>
      </c>
      <c r="F214" t="inlineStr">
        <is>
          <t>VÄSTRA GÖTALANDS LÄN</t>
        </is>
      </c>
      <c r="G214" t="inlineStr">
        <is>
          <t>SKARA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1236-2022</t>
        </is>
      </c>
      <c r="B215" t="inlineStr">
        <is>
          <t>samrådsanmälan</t>
        </is>
      </c>
      <c r="C215" t="n">
        <v/>
      </c>
      <c r="D215" s="1" t="n">
        <v>44623</v>
      </c>
      <c r="E215" s="1" t="n">
        <v>46292</v>
      </c>
      <c r="F215" t="inlineStr">
        <is>
          <t>VÄSTRA GÖTALANDS LÄN</t>
        </is>
      </c>
      <c r="G215" t="inlineStr">
        <is>
          <t>SKARA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839-2024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45372</v>
      </c>
      <c r="E216" s="1" t="n">
        <v>46292</v>
      </c>
      <c r="F216" t="inlineStr">
        <is>
          <t>VÄSTRA GÖTALANDS LÄN</t>
        </is>
      </c>
      <c r="G216" t="inlineStr">
        <is>
          <t>SKARA</t>
        </is>
      </c>
      <c r="I216" t="n">
        <v>19.6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2026-09-27T02:00:02Z</dcterms:created>
  <dcterms:modified xmlns:dcterms="http://purl.org/dc/terms/" xmlns:xsi="http://www.w3.org/2001/XMLSchema-instance" xsi:type="dcterms:W3CDTF">2026-09-27T02:00:03Z</dcterms:modified>
</cp:coreProperties>
</file>