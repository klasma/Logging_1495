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46248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46248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46248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46248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46248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46248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46248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46248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46248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46248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52041-2023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45223</v>
      </c>
      <c r="E13" s="1" t="n">
        <v>46248</v>
      </c>
      <c r="F13" t="inlineStr">
        <is>
          <t>VÄSTRA GÖTALANDS LÄN</t>
        </is>
      </c>
      <c r="G13" t="inlineStr">
        <is>
          <t>SKARA</t>
        </is>
      </c>
      <c r="I13" t="n">
        <v>5.9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HYPERLINK("https://klasma.github.io/Logging_1495/artfynd/A 52041-2023 artfynd.xlsx", "A 52041-2023")</f>
        <v/>
      </c>
      <c r="X13">
        <f>HYPERLINK("https://klasma.github.io/Logging_1495/kartor/A 52041-2023 karta.png", "A 52041-2023")</f>
        <v/>
      </c>
      <c r="Y13">
        <f>HYPERLINK("https://klasma.github.io/Logging_1495/kartor_geotiff/A 52041-2023 georefererad karta.tif", "A 52041-2023")</f>
        <v/>
      </c>
      <c r="AA13">
        <f>HYPERLINK("https://klasma.github.io/Logging_1495/klagomål/A 52041-2023 FSC-klagomål.docx", "A 52041-2023")</f>
        <v/>
      </c>
      <c r="AB13">
        <f>HYPERLINK("https://klasma.github.io/Logging_1495/klagomålsmail/A 52041-2023 FSC-klagomål mail.docx", "A 52041-2023")</f>
        <v/>
      </c>
      <c r="AC13">
        <f>HYPERLINK("https://klasma.github.io/Logging_1495/tillsyn/A 52041-2023 tillsynsbegäran.docx", "A 52041-2023")</f>
        <v/>
      </c>
      <c r="AD13">
        <f>HYPERLINK("https://klasma.github.io/Logging_1495/tillsynsmail/A 52041-2023 tillsynsbegäran mail.docx", "A 52041-2023")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46248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46248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46248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46248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55928-2025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46248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5.1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Motaggsvamp</t>
        </is>
      </c>
      <c r="W18">
        <f>HYPERLINK("https://klasma.github.io/Logging_1495/artfynd/A 55928-2025 artfynd.xlsx", "A 55928-2025")</f>
        <v/>
      </c>
      <c r="X18">
        <f>HYPERLINK("https://klasma.github.io/Logging_1495/kartor/A 55928-2025 karta.png", "A 55928-2025")</f>
        <v/>
      </c>
      <c r="Y18">
        <f>HYPERLINK("https://klasma.github.io/Logging_1495/kartor_geotiff/A 55928-2025 georefererad karta.tif", "A 55928-2025")</f>
        <v/>
      </c>
      <c r="AA18">
        <f>HYPERLINK("https://klasma.github.io/Logging_1495/klagomål/A 55928-2025 FSC-klagomål.docx", "A 55928-2025")</f>
        <v/>
      </c>
      <c r="AB18">
        <f>HYPERLINK("https://klasma.github.io/Logging_1495/klagomålsmail/A 55928-2025 FSC-klagomål mail.docx", "A 55928-2025")</f>
        <v/>
      </c>
      <c r="AC18">
        <f>HYPERLINK("https://klasma.github.io/Logging_1495/tillsyn/A 55928-2025 tillsynsbegäran.docx", "A 55928-2025")</f>
        <v/>
      </c>
      <c r="AD18">
        <f>HYPERLINK("https://klasma.github.io/Logging_1495/tillsynsmail/A 55928-2025 tillsynsbegäran mail.docx", "A 55928-2025")</f>
        <v/>
      </c>
    </row>
    <row r="19" ht="15" customHeight="1">
      <c r="A19" t="inlineStr">
        <is>
          <t>A 19729-2026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46248</v>
      </c>
      <c r="F19" t="inlineStr">
        <is>
          <t>VÄSTRA GÖTALANDS LÄN</t>
        </is>
      </c>
      <c r="G19" t="inlineStr">
        <is>
          <t>SKARA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HYPERLINK("https://klasma.github.io/Logging_1495/artfynd/A 19729-2026 artfynd.xlsx", "A 19729-2026")</f>
        <v/>
      </c>
      <c r="X19">
        <f>HYPERLINK("https://klasma.github.io/Logging_1495/kartor/A 19729-2026 karta.png", "A 19729-2026")</f>
        <v/>
      </c>
      <c r="Y19">
        <f>HYPERLINK("https://klasma.github.io/Logging_1495/kartor_geotiff/A 19729-2026 georefererad karta.tif", "A 19729-2026")</f>
        <v/>
      </c>
      <c r="AA19">
        <f>HYPERLINK("https://klasma.github.io/Logging_1495/klagomål/A 19729-2026 FSC-klagomål.docx", "A 19729-2026")</f>
        <v/>
      </c>
      <c r="AB19">
        <f>HYPERLINK("https://klasma.github.io/Logging_1495/klagomålsmail/A 19729-2026 FSC-klagomål mail.docx", "A 19729-2026")</f>
        <v/>
      </c>
      <c r="AC19">
        <f>HYPERLINK("https://klasma.github.io/Logging_1495/tillsyn/A 19729-2026 tillsynsbegäran.docx", "A 19729-2026")</f>
        <v/>
      </c>
      <c r="AD19">
        <f>HYPERLINK("https://klasma.github.io/Logging_1495/tillsynsmail/A 19729-2026 tillsynsbegäran mail.docx", "A 19729-2026")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46248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46248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46248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46248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46248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46248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46248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46248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46248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46248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46248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46248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46248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46248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46248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46248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46248</v>
      </c>
      <c r="F36" t="inlineStr">
        <is>
          <t>VÄSTRA GÖTALANDS LÄN</t>
        </is>
      </c>
      <c r="G36" t="inlineStr">
        <is>
          <t>SKARA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44908</v>
      </c>
      <c r="E37" s="1" t="n">
        <v>46248</v>
      </c>
      <c r="F37" t="inlineStr">
        <is>
          <t>VÄSTRA GÖTALANDS LÄN</t>
        </is>
      </c>
      <c r="G37" t="inlineStr">
        <is>
          <t>SKARA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31128-2023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45113</v>
      </c>
      <c r="E38" s="1" t="n">
        <v>46248</v>
      </c>
      <c r="F38" t="inlineStr">
        <is>
          <t>VÄSTRA GÖTALANDS LÄN</t>
        </is>
      </c>
      <c r="G38" t="inlineStr">
        <is>
          <t>SKARA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46248</v>
      </c>
      <c r="F39" t="inlineStr">
        <is>
          <t>VÄSTRA GÖTALANDS LÄN</t>
        </is>
      </c>
      <c r="G39" t="inlineStr">
        <is>
          <t>SKARA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36045-2023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45149</v>
      </c>
      <c r="E40" s="1" t="n">
        <v>46248</v>
      </c>
      <c r="F40" t="inlineStr">
        <is>
          <t>VÄSTRA GÖTALANDS LÄN</t>
        </is>
      </c>
      <c r="G40" t="inlineStr">
        <is>
          <t>SKARA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44978</v>
      </c>
      <c r="E41" s="1" t="n">
        <v>46248</v>
      </c>
      <c r="F41" t="inlineStr">
        <is>
          <t>VÄSTRA GÖTALANDS LÄN</t>
        </is>
      </c>
      <c r="G41" t="inlineStr">
        <is>
          <t>SKARA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44970</v>
      </c>
      <c r="E42" s="1" t="n">
        <v>46248</v>
      </c>
      <c r="F42" t="inlineStr">
        <is>
          <t>VÄSTRA GÖTALANDS LÄN</t>
        </is>
      </c>
      <c r="G42" t="inlineStr">
        <is>
          <t>SKARA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46248</v>
      </c>
      <c r="F43" t="inlineStr">
        <is>
          <t>VÄSTRA GÖTALANDS LÄN</t>
        </is>
      </c>
      <c r="G43" t="inlineStr">
        <is>
          <t>SKARA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48098-2022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44856</v>
      </c>
      <c r="E44" s="1" t="n">
        <v>46248</v>
      </c>
      <c r="F44" t="inlineStr">
        <is>
          <t>VÄSTRA GÖTALANDS LÄN</t>
        </is>
      </c>
      <c r="G44" t="inlineStr">
        <is>
          <t>SKARA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44860</v>
      </c>
      <c r="E45" s="1" t="n">
        <v>46248</v>
      </c>
      <c r="F45" t="inlineStr">
        <is>
          <t>VÄSTRA GÖTALANDS LÄN</t>
        </is>
      </c>
      <c r="G45" t="inlineStr">
        <is>
          <t>SKARA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45091</v>
      </c>
      <c r="E46" s="1" t="n">
        <v>46248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46248</v>
      </c>
      <c r="F47" t="inlineStr">
        <is>
          <t>VÄSTRA GÖTALANDS LÄN</t>
        </is>
      </c>
      <c r="G47" t="inlineStr">
        <is>
          <t>SKARA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46248</v>
      </c>
      <c r="F48" t="inlineStr">
        <is>
          <t>VÄSTRA GÖTALANDS LÄN</t>
        </is>
      </c>
      <c r="G48" t="inlineStr">
        <is>
          <t>SKARA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46248</v>
      </c>
      <c r="F49" t="inlineStr">
        <is>
          <t>VÄSTRA GÖTALANDS LÄN</t>
        </is>
      </c>
      <c r="G49" t="inlineStr">
        <is>
          <t>SKARA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46248</v>
      </c>
      <c r="F50" t="inlineStr">
        <is>
          <t>VÄSTRA GÖTALANDS LÄN</t>
        </is>
      </c>
      <c r="G50" t="inlineStr">
        <is>
          <t>SKARA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46248</v>
      </c>
      <c r="F51" t="inlineStr">
        <is>
          <t>VÄSTRA GÖTALANDS LÄN</t>
        </is>
      </c>
      <c r="G51" t="inlineStr">
        <is>
          <t>SKARA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46248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46248</v>
      </c>
      <c r="F53" t="inlineStr">
        <is>
          <t>VÄSTRA GÖTALANDS LÄN</t>
        </is>
      </c>
      <c r="G53" t="inlineStr">
        <is>
          <t>SKARA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44844</v>
      </c>
      <c r="E54" s="1" t="n">
        <v>46248</v>
      </c>
      <c r="F54" t="inlineStr">
        <is>
          <t>VÄSTRA GÖTALANDS LÄN</t>
        </is>
      </c>
      <c r="G54" t="inlineStr">
        <is>
          <t>SKARA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44832</v>
      </c>
      <c r="E55" s="1" t="n">
        <v>46248</v>
      </c>
      <c r="F55" t="inlineStr">
        <is>
          <t>VÄSTRA GÖTALANDS LÄN</t>
        </is>
      </c>
      <c r="G55" t="inlineStr">
        <is>
          <t>SKARA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46248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46248</v>
      </c>
      <c r="F57" t="inlineStr">
        <is>
          <t>VÄSTRA GÖTALANDS LÄN</t>
        </is>
      </c>
      <c r="G57" t="inlineStr">
        <is>
          <t>SKARA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46248</v>
      </c>
      <c r="F58" t="inlineStr">
        <is>
          <t>VÄSTRA GÖTALANDS LÄN</t>
        </is>
      </c>
      <c r="G58" t="inlineStr">
        <is>
          <t>SKARA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46248</v>
      </c>
      <c r="F59" t="inlineStr">
        <is>
          <t>VÄSTRA GÖTALANDS LÄN</t>
        </is>
      </c>
      <c r="G59" t="inlineStr">
        <is>
          <t>SKARA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44827</v>
      </c>
      <c r="E60" s="1" t="n">
        <v>46248</v>
      </c>
      <c r="F60" t="inlineStr">
        <is>
          <t>VÄSTRA GÖTALANDS LÄN</t>
        </is>
      </c>
      <c r="G60" t="inlineStr">
        <is>
          <t>SKARA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46248</v>
      </c>
      <c r="F61" t="inlineStr">
        <is>
          <t>VÄSTRA GÖTALANDS LÄN</t>
        </is>
      </c>
      <c r="G61" t="inlineStr">
        <is>
          <t>SKARA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45309</v>
      </c>
      <c r="E62" s="1" t="n">
        <v>46248</v>
      </c>
      <c r="F62" t="inlineStr">
        <is>
          <t>VÄSTRA GÖTALANDS LÄN</t>
        </is>
      </c>
      <c r="G62" t="inlineStr">
        <is>
          <t>SKARA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46248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44990</v>
      </c>
      <c r="E64" s="1" t="n">
        <v>46248</v>
      </c>
      <c r="F64" t="inlineStr">
        <is>
          <t>VÄSTRA GÖTALANDS LÄN</t>
        </is>
      </c>
      <c r="G64" t="inlineStr">
        <is>
          <t>SKARA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46248</v>
      </c>
      <c r="F65" t="inlineStr">
        <is>
          <t>VÄSTRA GÖTALANDS LÄN</t>
        </is>
      </c>
      <c r="G65" t="inlineStr">
        <is>
          <t>SKARA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18701-2022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44687</v>
      </c>
      <c r="E66" s="1" t="n">
        <v>46248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46248</v>
      </c>
      <c r="F67" t="inlineStr">
        <is>
          <t>VÄSTRA GÖTALANDS LÄN</t>
        </is>
      </c>
      <c r="G67" t="inlineStr">
        <is>
          <t>SKARA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46248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68932-2021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46248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25153-2024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45462</v>
      </c>
      <c r="E70" s="1" t="n">
        <v>46248</v>
      </c>
      <c r="F70" t="inlineStr">
        <is>
          <t>VÄSTRA GÖTALANDS LÄN</t>
        </is>
      </c>
      <c r="G70" t="inlineStr">
        <is>
          <t>SKARA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46248</v>
      </c>
      <c r="F71" t="inlineStr">
        <is>
          <t>VÄSTRA GÖTALANDS LÄN</t>
        </is>
      </c>
      <c r="G71" t="inlineStr">
        <is>
          <t>SKARA</t>
        </is>
      </c>
      <c r="H71" t="inlineStr">
        <is>
          <t>Kommuner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46248</v>
      </c>
      <c r="F72" t="inlineStr">
        <is>
          <t>VÄSTRA GÖTALANDS LÄN</t>
        </is>
      </c>
      <c r="G72" t="inlineStr">
        <is>
          <t>SKARA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46248</v>
      </c>
      <c r="F73" t="inlineStr">
        <is>
          <t>VÄSTRA GÖTALANDS LÄN</t>
        </is>
      </c>
      <c r="G73" t="inlineStr">
        <is>
          <t>SKARA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46248</v>
      </c>
      <c r="F74" t="inlineStr">
        <is>
          <t>VÄSTRA GÖTALANDS LÄN</t>
        </is>
      </c>
      <c r="G74" t="inlineStr">
        <is>
          <t>SKARA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46248</v>
      </c>
      <c r="F75" t="inlineStr">
        <is>
          <t>VÄSTRA GÖTALANDS LÄN</t>
        </is>
      </c>
      <c r="G75" t="inlineStr">
        <is>
          <t>SKARA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44957</v>
      </c>
      <c r="E76" s="1" t="n">
        <v>46248</v>
      </c>
      <c r="F76" t="inlineStr">
        <is>
          <t>VÄSTRA GÖTALANDS LÄN</t>
        </is>
      </c>
      <c r="G76" t="inlineStr">
        <is>
          <t>SKARA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46248</v>
      </c>
      <c r="F77" t="inlineStr">
        <is>
          <t>VÄSTRA GÖTALANDS LÄN</t>
        </is>
      </c>
      <c r="G77" t="inlineStr">
        <is>
          <t>SKARA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46248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46248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44937</v>
      </c>
      <c r="E80" s="1" t="n">
        <v>46248</v>
      </c>
      <c r="F80" t="inlineStr">
        <is>
          <t>VÄSTRA GÖTALANDS LÄN</t>
        </is>
      </c>
      <c r="G80" t="inlineStr">
        <is>
          <t>SKARA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46248</v>
      </c>
      <c r="F81" t="inlineStr">
        <is>
          <t>VÄSTRA GÖTALANDS LÄN</t>
        </is>
      </c>
      <c r="G81" t="inlineStr">
        <is>
          <t>SKARA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44887</v>
      </c>
      <c r="E82" s="1" t="n">
        <v>46248</v>
      </c>
      <c r="F82" t="inlineStr">
        <is>
          <t>VÄSTRA GÖTALANDS LÄN</t>
        </is>
      </c>
      <c r="G82" t="inlineStr">
        <is>
          <t>SKARA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44887</v>
      </c>
      <c r="E83" s="1" t="n">
        <v>46248</v>
      </c>
      <c r="F83" t="inlineStr">
        <is>
          <t>VÄSTRA GÖTALANDS LÄN</t>
        </is>
      </c>
      <c r="G83" t="inlineStr">
        <is>
          <t>SKARA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46248</v>
      </c>
      <c r="F84" t="inlineStr">
        <is>
          <t>VÄSTRA GÖTALANDS LÄN</t>
        </is>
      </c>
      <c r="G84" t="inlineStr">
        <is>
          <t>SKARA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62890-2023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46248</v>
      </c>
      <c r="F85" t="inlineStr">
        <is>
          <t>VÄSTRA GÖTALANDS LÄN</t>
        </is>
      </c>
      <c r="G85" t="inlineStr">
        <is>
          <t>SKARA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45420</v>
      </c>
      <c r="E86" s="1" t="n">
        <v>46248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45687</v>
      </c>
      <c r="E87" s="1" t="n">
        <v>46248</v>
      </c>
      <c r="F87" t="inlineStr">
        <is>
          <t>VÄSTRA GÖTALANDS LÄN</t>
        </is>
      </c>
      <c r="G87" t="inlineStr">
        <is>
          <t>SKARA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46248</v>
      </c>
      <c r="F88" t="inlineStr">
        <is>
          <t>VÄSTRA GÖTALANDS LÄN</t>
        </is>
      </c>
      <c r="G88" t="inlineStr">
        <is>
          <t>SKARA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46248</v>
      </c>
      <c r="F89" t="inlineStr">
        <is>
          <t>VÄSTRA GÖTALANDS LÄN</t>
        </is>
      </c>
      <c r="G89" t="inlineStr">
        <is>
          <t>SKARA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46248</v>
      </c>
      <c r="F90" t="inlineStr">
        <is>
          <t>VÄSTRA GÖTALANDS LÄN</t>
        </is>
      </c>
      <c r="G90" t="inlineStr">
        <is>
          <t>SKARA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46248</v>
      </c>
      <c r="F91" t="inlineStr">
        <is>
          <t>VÄSTRA GÖTALANDS LÄN</t>
        </is>
      </c>
      <c r="G91" t="inlineStr">
        <is>
          <t>SKARA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46248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46248</v>
      </c>
      <c r="F93" t="inlineStr">
        <is>
          <t>VÄSTRA GÖTALANDS LÄN</t>
        </is>
      </c>
      <c r="G93" t="inlineStr">
        <is>
          <t>SKARA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46248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45469</v>
      </c>
      <c r="E95" s="1" t="n">
        <v>46248</v>
      </c>
      <c r="F95" t="inlineStr">
        <is>
          <t>VÄSTRA GÖTALANDS LÄN</t>
        </is>
      </c>
      <c r="G95" t="inlineStr">
        <is>
          <t>SKARA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46248</v>
      </c>
      <c r="F96" t="inlineStr">
        <is>
          <t>VÄSTRA GÖTALANDS LÄN</t>
        </is>
      </c>
      <c r="G96" t="inlineStr">
        <is>
          <t>SKARA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46248</v>
      </c>
      <c r="F97" t="inlineStr">
        <is>
          <t>VÄSTRA GÖTALANDS LÄN</t>
        </is>
      </c>
      <c r="G97" t="inlineStr">
        <is>
          <t>SKARA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44433</v>
      </c>
      <c r="E98" s="1" t="n">
        <v>46248</v>
      </c>
      <c r="F98" t="inlineStr">
        <is>
          <t>VÄSTRA GÖTALANDS LÄN</t>
        </is>
      </c>
      <c r="G98" t="inlineStr">
        <is>
          <t>SKARA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45469</v>
      </c>
      <c r="E99" s="1" t="n">
        <v>46248</v>
      </c>
      <c r="F99" t="inlineStr">
        <is>
          <t>VÄSTRA GÖTALANDS LÄN</t>
        </is>
      </c>
      <c r="G99" t="inlineStr">
        <is>
          <t>SKARA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46248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46248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34569-2023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46248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46248</v>
      </c>
      <c r="F103" t="inlineStr">
        <is>
          <t>VÄSTRA GÖTALANDS LÄN</t>
        </is>
      </c>
      <c r="G103" t="inlineStr">
        <is>
          <t>SKARA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46248</v>
      </c>
      <c r="F104" t="inlineStr">
        <is>
          <t>VÄSTRA GÖTALANDS LÄN</t>
        </is>
      </c>
      <c r="G104" t="inlineStr">
        <is>
          <t>SKARA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45314</v>
      </c>
      <c r="E105" s="1" t="n">
        <v>46248</v>
      </c>
      <c r="F105" t="inlineStr">
        <is>
          <t>VÄSTRA GÖTALANDS LÄN</t>
        </is>
      </c>
      <c r="G105" t="inlineStr">
        <is>
          <t>SKARA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46248</v>
      </c>
      <c r="F106" t="inlineStr">
        <is>
          <t>VÄSTRA GÖTALANDS LÄN</t>
        </is>
      </c>
      <c r="G106" t="inlineStr">
        <is>
          <t>SKARA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44995</v>
      </c>
      <c r="E107" s="1" t="n">
        <v>46248</v>
      </c>
      <c r="F107" t="inlineStr">
        <is>
          <t>VÄSTRA GÖTALANDS LÄN</t>
        </is>
      </c>
      <c r="G107" t="inlineStr">
        <is>
          <t>SKARA</t>
        </is>
      </c>
      <c r="I107" t="n">
        <v>13.5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46248</v>
      </c>
      <c r="F108" t="inlineStr">
        <is>
          <t>VÄSTRA GÖTALANDS LÄN</t>
        </is>
      </c>
      <c r="G108" t="inlineStr">
        <is>
          <t>SKARA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46248</v>
      </c>
      <c r="F109" t="inlineStr">
        <is>
          <t>VÄSTRA GÖTALANDS LÄN</t>
        </is>
      </c>
      <c r="G109" t="inlineStr">
        <is>
          <t>SKARA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45492</v>
      </c>
      <c r="E110" s="1" t="n">
        <v>46248</v>
      </c>
      <c r="F110" t="inlineStr">
        <is>
          <t>VÄSTRA GÖTALANDS LÄN</t>
        </is>
      </c>
      <c r="G110" t="inlineStr">
        <is>
          <t>SKARA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45667</v>
      </c>
      <c r="E111" s="1" t="n">
        <v>46248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46248</v>
      </c>
      <c r="F112" t="inlineStr">
        <is>
          <t>VÄSTRA GÖTALANDS LÄN</t>
        </is>
      </c>
      <c r="G112" t="inlineStr">
        <is>
          <t>SKARA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46248</v>
      </c>
      <c r="F113" t="inlineStr">
        <is>
          <t>VÄSTRA GÖTALANDS LÄN</t>
        </is>
      </c>
      <c r="G113" t="inlineStr">
        <is>
          <t>SKARA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46248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46248</v>
      </c>
      <c r="F115" t="inlineStr">
        <is>
          <t>VÄSTRA GÖTALANDS LÄN</t>
        </is>
      </c>
      <c r="G115" t="inlineStr">
        <is>
          <t>SKARA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46248</v>
      </c>
      <c r="F116" t="inlineStr">
        <is>
          <t>VÄSTRA GÖTALANDS LÄN</t>
        </is>
      </c>
      <c r="G116" t="inlineStr">
        <is>
          <t>SKARA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45299</v>
      </c>
      <c r="E117" s="1" t="n">
        <v>46248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44812</v>
      </c>
      <c r="E118" s="1" t="n">
        <v>46248</v>
      </c>
      <c r="F118" t="inlineStr">
        <is>
          <t>VÄSTRA GÖTALANDS LÄN</t>
        </is>
      </c>
      <c r="G118" t="inlineStr">
        <is>
          <t>SKARA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46248</v>
      </c>
      <c r="F119" t="inlineStr">
        <is>
          <t>VÄSTRA GÖTALANDS LÄN</t>
        </is>
      </c>
      <c r="G119" t="inlineStr">
        <is>
          <t>SKARA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46248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55202-2024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46248</v>
      </c>
      <c r="F121" t="inlineStr">
        <is>
          <t>VÄSTRA GÖTALANDS LÄN</t>
        </is>
      </c>
      <c r="G121" t="inlineStr">
        <is>
          <t>SKARA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46248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46248</v>
      </c>
      <c r="F123" t="inlineStr">
        <is>
          <t>VÄSTRA GÖTALANDS LÄN</t>
        </is>
      </c>
      <c r="G123" t="inlineStr">
        <is>
          <t>SKARA</t>
        </is>
      </c>
      <c r="I123" t="n">
        <v>21.6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46248</v>
      </c>
      <c r="F124" t="inlineStr">
        <is>
          <t>VÄSTRA GÖTALANDS LÄN</t>
        </is>
      </c>
      <c r="G124" t="inlineStr">
        <is>
          <t>SKARA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25219-2025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45800</v>
      </c>
      <c r="E125" s="1" t="n">
        <v>46248</v>
      </c>
      <c r="F125" t="inlineStr">
        <is>
          <t>VÄSTRA GÖTALANDS LÄN</t>
        </is>
      </c>
      <c r="G125" t="inlineStr">
        <is>
          <t>SKARA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45288</v>
      </c>
      <c r="E126" s="1" t="n">
        <v>46248</v>
      </c>
      <c r="F126" t="inlineStr">
        <is>
          <t>VÄSTRA GÖTALANDS LÄN</t>
        </is>
      </c>
      <c r="G126" t="inlineStr">
        <is>
          <t>SKARA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45224</v>
      </c>
      <c r="E127" s="1" t="n">
        <v>46248</v>
      </c>
      <c r="F127" t="inlineStr">
        <is>
          <t>VÄSTRA GÖTALANDS LÄN</t>
        </is>
      </c>
      <c r="G127" t="inlineStr">
        <is>
          <t>SKARA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44909</v>
      </c>
      <c r="E128" s="1" t="n">
        <v>46248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45874</v>
      </c>
      <c r="E129" s="1" t="n">
        <v>46248</v>
      </c>
      <c r="F129" t="inlineStr">
        <is>
          <t>VÄSTRA GÖTALANDS LÄN</t>
        </is>
      </c>
      <c r="G129" t="inlineStr">
        <is>
          <t>SKARA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44946</v>
      </c>
      <c r="E130" s="1" t="n">
        <v>46248</v>
      </c>
      <c r="F130" t="inlineStr">
        <is>
          <t>VÄSTRA GÖTALANDS LÄN</t>
        </is>
      </c>
      <c r="G130" t="inlineStr">
        <is>
          <t>SKARA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46248</v>
      </c>
      <c r="F131" t="inlineStr">
        <is>
          <t>VÄSTRA GÖTALANDS LÄN</t>
        </is>
      </c>
      <c r="G131" t="inlineStr">
        <is>
          <t>SKARA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45817</v>
      </c>
      <c r="E132" s="1" t="n">
        <v>46248</v>
      </c>
      <c r="F132" t="inlineStr">
        <is>
          <t>VÄSTRA GÖTALANDS LÄN</t>
        </is>
      </c>
      <c r="G132" t="inlineStr">
        <is>
          <t>SKARA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46248</v>
      </c>
      <c r="F133" t="inlineStr">
        <is>
          <t>VÄSTRA GÖTALANDS LÄN</t>
        </is>
      </c>
      <c r="G133" t="inlineStr">
        <is>
          <t>SKARA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46248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46248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45175</v>
      </c>
      <c r="E136" s="1" t="n">
        <v>46248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Kommuner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46248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46248</v>
      </c>
      <c r="F138" t="inlineStr">
        <is>
          <t>VÄSTRA GÖTALANDS LÄN</t>
        </is>
      </c>
      <c r="G138" t="inlineStr">
        <is>
          <t>SKARA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46248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46248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46248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46248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46248</v>
      </c>
      <c r="F143" t="inlineStr">
        <is>
          <t>VÄSTRA GÖTALANDS LÄN</t>
        </is>
      </c>
      <c r="G143" t="inlineStr">
        <is>
          <t>SKARA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46248</v>
      </c>
      <c r="F144" t="inlineStr">
        <is>
          <t>VÄSTRA GÖTALANDS LÄN</t>
        </is>
      </c>
      <c r="G144" t="inlineStr">
        <is>
          <t>SKARA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45514</v>
      </c>
      <c r="E145" s="1" t="n">
        <v>46248</v>
      </c>
      <c r="F145" t="inlineStr">
        <is>
          <t>VÄSTRA GÖTALANDS LÄN</t>
        </is>
      </c>
      <c r="G145" t="inlineStr">
        <is>
          <t>SKARA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45839</v>
      </c>
      <c r="E146" s="1" t="n">
        <v>46248</v>
      </c>
      <c r="F146" t="inlineStr">
        <is>
          <t>VÄSTRA GÖTALANDS LÄN</t>
        </is>
      </c>
      <c r="G146" t="inlineStr">
        <is>
          <t>SKARA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44953</v>
      </c>
      <c r="E147" s="1" t="n">
        <v>46248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46248</v>
      </c>
      <c r="F148" t="inlineStr">
        <is>
          <t>VÄSTRA GÖTALANDS LÄN</t>
        </is>
      </c>
      <c r="G148" t="inlineStr">
        <is>
          <t>SKARA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45156</v>
      </c>
      <c r="E149" s="1" t="n">
        <v>46248</v>
      </c>
      <c r="F149" t="inlineStr">
        <is>
          <t>VÄSTRA GÖTALANDS LÄN</t>
        </is>
      </c>
      <c r="G149" t="inlineStr">
        <is>
          <t>SKARA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44995</v>
      </c>
      <c r="E150" s="1" t="n">
        <v>46248</v>
      </c>
      <c r="F150" t="inlineStr">
        <is>
          <t>VÄSTRA GÖTALANDS LÄN</t>
        </is>
      </c>
      <c r="G150" t="inlineStr">
        <is>
          <t>SKARA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44642</v>
      </c>
      <c r="E151" s="1" t="n">
        <v>46248</v>
      </c>
      <c r="F151" t="inlineStr">
        <is>
          <t>VÄSTRA GÖTALANDS LÄN</t>
        </is>
      </c>
      <c r="G151" t="inlineStr">
        <is>
          <t>SKARA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60233-2023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45258</v>
      </c>
      <c r="E152" s="1" t="n">
        <v>46248</v>
      </c>
      <c r="F152" t="inlineStr">
        <is>
          <t>VÄSTRA GÖTALANDS LÄN</t>
        </is>
      </c>
      <c r="G152" t="inlineStr">
        <is>
          <t>SKARA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46248</v>
      </c>
      <c r="F153" t="inlineStr">
        <is>
          <t>VÄSTRA GÖTALANDS LÄN</t>
        </is>
      </c>
      <c r="G153" t="inlineStr">
        <is>
          <t>SKARA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30019-2023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45109</v>
      </c>
      <c r="E154" s="1" t="n">
        <v>46248</v>
      </c>
      <c r="F154" t="inlineStr">
        <is>
          <t>VÄSTRA GÖTALANDS LÄN</t>
        </is>
      </c>
      <c r="G154" t="inlineStr">
        <is>
          <t>SKARA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44687</v>
      </c>
      <c r="E155" s="1" t="n">
        <v>46248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Kommuner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45313</v>
      </c>
      <c r="E156" s="1" t="n">
        <v>46248</v>
      </c>
      <c r="F156" t="inlineStr">
        <is>
          <t>VÄSTRA GÖTALANDS LÄN</t>
        </is>
      </c>
      <c r="G156" t="inlineStr">
        <is>
          <t>SKARA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45288</v>
      </c>
      <c r="E157" s="1" t="n">
        <v>46248</v>
      </c>
      <c r="F157" t="inlineStr">
        <is>
          <t>VÄSTRA GÖTALANDS LÄN</t>
        </is>
      </c>
      <c r="G157" t="inlineStr">
        <is>
          <t>SKARA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46248</v>
      </c>
      <c r="F158" t="inlineStr">
        <is>
          <t>VÄSTRA GÖTALANDS LÄN</t>
        </is>
      </c>
      <c r="G158" t="inlineStr">
        <is>
          <t>SKARA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46248</v>
      </c>
      <c r="F159" t="inlineStr">
        <is>
          <t>VÄSTRA GÖTALANDS LÄN</t>
        </is>
      </c>
      <c r="G159" t="inlineStr">
        <is>
          <t>SKARA</t>
        </is>
      </c>
      <c r="I159" t="n">
        <v>9.199999999999999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45595</v>
      </c>
      <c r="E160" s="1" t="n">
        <v>46248</v>
      </c>
      <c r="F160" t="inlineStr">
        <is>
          <t>VÄSTRA GÖTALANDS LÄN</t>
        </is>
      </c>
      <c r="G160" t="inlineStr">
        <is>
          <t>SKARA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46248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46248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46248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45924</v>
      </c>
      <c r="E164" s="1" t="n">
        <v>46248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46248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46248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Kyrkan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45924</v>
      </c>
      <c r="E167" s="1" t="n">
        <v>46248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Kyrkan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46248</v>
      </c>
      <c r="F168" t="inlineStr">
        <is>
          <t>VÄSTRA GÖTALANDS LÄN</t>
        </is>
      </c>
      <c r="G168" t="inlineStr">
        <is>
          <t>SKARA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46248</v>
      </c>
      <c r="F169" t="inlineStr">
        <is>
          <t>VÄSTRA GÖTALANDS LÄN</t>
        </is>
      </c>
      <c r="G169" t="inlineStr">
        <is>
          <t>SKARA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46248</v>
      </c>
      <c r="F170" t="inlineStr">
        <is>
          <t>VÄSTRA GÖTALANDS LÄN</t>
        </is>
      </c>
      <c r="G170" t="inlineStr">
        <is>
          <t>SKARA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46248</v>
      </c>
      <c r="F171" t="inlineStr">
        <is>
          <t>VÄSTRA GÖTALANDS LÄN</t>
        </is>
      </c>
      <c r="G171" t="inlineStr">
        <is>
          <t>SKARA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46248</v>
      </c>
      <c r="F172" t="inlineStr">
        <is>
          <t>VÄSTRA GÖTALANDS LÄN</t>
        </is>
      </c>
      <c r="G172" t="inlineStr">
        <is>
          <t>SKARA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46248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46248</v>
      </c>
      <c r="F174" t="inlineStr">
        <is>
          <t>VÄSTRA GÖTALANDS LÄN</t>
        </is>
      </c>
      <c r="G174" t="inlineStr">
        <is>
          <t>SKARA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46248</v>
      </c>
      <c r="F175" t="inlineStr">
        <is>
          <t>VÄSTRA GÖTALANDS LÄN</t>
        </is>
      </c>
      <c r="G175" t="inlineStr">
        <is>
          <t>SKARA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46248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Kyrkan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46248</v>
      </c>
      <c r="F177" t="inlineStr">
        <is>
          <t>VÄSTRA GÖTALANDS LÄN</t>
        </is>
      </c>
      <c r="G177" t="inlineStr">
        <is>
          <t>SKARA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46248</v>
      </c>
      <c r="F178" t="inlineStr">
        <is>
          <t>VÄSTRA GÖTALANDS LÄN</t>
        </is>
      </c>
      <c r="G178" t="inlineStr">
        <is>
          <t>SKARA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27478-2026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46189</v>
      </c>
      <c r="E179" s="1" t="n">
        <v>46248</v>
      </c>
      <c r="F179" t="inlineStr">
        <is>
          <t>VÄSTRA GÖTALANDS LÄN</t>
        </is>
      </c>
      <c r="G179" t="inlineStr">
        <is>
          <t>SKARA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46248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46248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Kyrkan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46248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Kyrkan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46248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46248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46247</v>
      </c>
      <c r="E185" s="1" t="n">
        <v>46248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46248</v>
      </c>
      <c r="F186" t="inlineStr">
        <is>
          <t>VÄSTRA GÖTALANDS LÄN</t>
        </is>
      </c>
      <c r="G186" t="inlineStr">
        <is>
          <t>SKARA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46248</v>
      </c>
      <c r="F187" t="inlineStr">
        <is>
          <t>VÄSTRA GÖTALANDS LÄN</t>
        </is>
      </c>
      <c r="G187" t="inlineStr">
        <is>
          <t>SKARA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46248</v>
      </c>
      <c r="F188" t="inlineStr">
        <is>
          <t>VÄSTRA GÖTALANDS LÄN</t>
        </is>
      </c>
      <c r="G188" t="inlineStr">
        <is>
          <t>SKARA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46248</v>
      </c>
      <c r="F189" t="inlineStr">
        <is>
          <t>VÄSTRA GÖTALANDS LÄN</t>
        </is>
      </c>
      <c r="G189" t="inlineStr">
        <is>
          <t>SKARA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46248</v>
      </c>
      <c r="F190" t="inlineStr">
        <is>
          <t>VÄSTRA GÖTALANDS LÄN</t>
        </is>
      </c>
      <c r="G190" t="inlineStr">
        <is>
          <t>SKARA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45719</v>
      </c>
      <c r="E191" s="1" t="n">
        <v>46248</v>
      </c>
      <c r="F191" t="inlineStr">
        <is>
          <t>VÄSTRA GÖTALANDS LÄN</t>
        </is>
      </c>
      <c r="G191" t="inlineStr">
        <is>
          <t>SKARA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46072</v>
      </c>
      <c r="E192" s="1" t="n">
        <v>46248</v>
      </c>
      <c r="F192" t="inlineStr">
        <is>
          <t>VÄSTRA GÖTALANDS LÄN</t>
        </is>
      </c>
      <c r="G192" t="inlineStr">
        <is>
          <t>SKARA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12332-2026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46087</v>
      </c>
      <c r="E193" s="1" t="n">
        <v>46248</v>
      </c>
      <c r="F193" t="inlineStr">
        <is>
          <t>VÄSTRA GÖTALANDS LÄN</t>
        </is>
      </c>
      <c r="G193" t="inlineStr">
        <is>
          <t>SKARA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46093</v>
      </c>
      <c r="E194" s="1" t="n">
        <v>46248</v>
      </c>
      <c r="F194" t="inlineStr">
        <is>
          <t>VÄSTRA GÖTALANDS LÄN</t>
        </is>
      </c>
      <c r="G194" t="inlineStr">
        <is>
          <t>SKARA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46248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46248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46248</v>
      </c>
      <c r="F197" t="inlineStr">
        <is>
          <t>VÄSTRA GÖTALANDS LÄN</t>
        </is>
      </c>
      <c r="G197" t="inlineStr">
        <is>
          <t>SKARA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46248</v>
      </c>
      <c r="F198" t="inlineStr">
        <is>
          <t>VÄSTRA GÖTALANDS LÄN</t>
        </is>
      </c>
      <c r="G198" t="inlineStr">
        <is>
          <t>SKARA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46248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46248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46248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46248</v>
      </c>
      <c r="F202" t="inlineStr">
        <is>
          <t>VÄSTRA GÖTALANDS LÄN</t>
        </is>
      </c>
      <c r="G202" t="inlineStr">
        <is>
          <t>SKARA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46248</v>
      </c>
      <c r="F203" t="inlineStr">
        <is>
          <t>VÄSTRA GÖTALANDS LÄN</t>
        </is>
      </c>
      <c r="G203" t="inlineStr">
        <is>
          <t>SKARA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46248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46248</v>
      </c>
      <c r="F205" t="inlineStr">
        <is>
          <t>VÄSTRA GÖTALANDS LÄN</t>
        </is>
      </c>
      <c r="G205" t="inlineStr">
        <is>
          <t>SKARA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46248</v>
      </c>
      <c r="F206" t="inlineStr">
        <is>
          <t>VÄSTRA GÖTALANDS LÄN</t>
        </is>
      </c>
      <c r="G206" t="inlineStr">
        <is>
          <t>SKARA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46248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46248</v>
      </c>
      <c r="F208" t="inlineStr">
        <is>
          <t>VÄSTRA GÖTALANDS LÄN</t>
        </is>
      </c>
      <c r="G208" t="inlineStr">
        <is>
          <t>SKARA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46248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46248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19950-2026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46136</v>
      </c>
      <c r="E211" s="1" t="n">
        <v>46248</v>
      </c>
      <c r="F211" t="inlineStr">
        <is>
          <t>VÄSTRA GÖTALANDS LÄN</t>
        </is>
      </c>
      <c r="G211" t="inlineStr">
        <is>
          <t>SKARA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46248</v>
      </c>
      <c r="F212" t="inlineStr">
        <is>
          <t>VÄSTRA GÖTALANDS LÄN</t>
        </is>
      </c>
      <c r="G212" t="inlineStr">
        <is>
          <t>SKARA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46248</v>
      </c>
      <c r="F213" t="inlineStr">
        <is>
          <t>VÄSTRA GÖTALANDS LÄN</t>
        </is>
      </c>
      <c r="G213" t="inlineStr">
        <is>
          <t>SKARA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46248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46248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2026-08-14T01:52:43Z</dcterms:created>
  <dcterms:modified xmlns:dcterms="http://purl.org/dc/terms/" xmlns:xsi="http://www.w3.org/2001/XMLSchema-instance" xsi:type="dcterms:W3CDTF">2026-08-14T01:52:44Z</dcterms:modified>
</cp:coreProperties>
</file>