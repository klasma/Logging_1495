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45363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14609-2019</t>
        </is>
      </c>
      <c r="B3" s="1" t="n">
        <v>43537</v>
      </c>
      <c r="C3" s="1" t="n">
        <v>45363</v>
      </c>
      <c r="D3" t="inlineStr">
        <is>
          <t>VÄSTRA GÖTALANDS LÄN</t>
        </is>
      </c>
      <c r="E3" t="inlineStr">
        <is>
          <t>SKARA</t>
        </is>
      </c>
      <c r="G3" t="n">
        <v>2.5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Skogsbräsma
Vanlig flatbagge
Grönvit nattviol
Nattviol</t>
        </is>
      </c>
      <c r="S3">
        <f>HYPERLINK("https://klasma.github.io/Logging_1495/artfynd/A 14609-2019 artfynd.xlsx", "A 14609-2019")</f>
        <v/>
      </c>
      <c r="T3">
        <f>HYPERLINK("https://klasma.github.io/Logging_1495/kartor/A 14609-2019 karta.png", "A 14609-2019")</f>
        <v/>
      </c>
      <c r="V3">
        <f>HYPERLINK("https://klasma.github.io/Logging_1495/klagomål/A 14609-2019 FSC-klagomål.docx", "A 14609-2019")</f>
        <v/>
      </c>
      <c r="W3">
        <f>HYPERLINK("https://klasma.github.io/Logging_1495/klagomålsmail/A 14609-2019 FSC-klagomål mail.docx", "A 14609-2019")</f>
        <v/>
      </c>
      <c r="X3">
        <f>HYPERLINK("https://klasma.github.io/Logging_1495/tillsyn/A 14609-2019 tillsynsbegäran.docx", "A 14609-2019")</f>
        <v/>
      </c>
      <c r="Y3">
        <f>HYPERLINK("https://klasma.github.io/Logging_1495/tillsynsmail/A 14609-2019 tillsynsbegäran mail.docx", "A 14609-2019")</f>
        <v/>
      </c>
    </row>
    <row r="4" ht="15" customHeight="1">
      <c r="A4" t="inlineStr">
        <is>
          <t>A 61434-2018</t>
        </is>
      </c>
      <c r="B4" s="1" t="n">
        <v>43424</v>
      </c>
      <c r="C4" s="1" t="n">
        <v>45363</v>
      </c>
      <c r="D4" t="inlineStr">
        <is>
          <t>VÄSTRA GÖTALANDS LÄN</t>
        </is>
      </c>
      <c r="E4" t="inlineStr">
        <is>
          <t>SKARA</t>
        </is>
      </c>
      <c r="G4" t="n">
        <v>11.6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Lateritticka
Blodticka
Gullgröppa</t>
        </is>
      </c>
      <c r="S4">
        <f>HYPERLINK("https://klasma.github.io/Logging_1495/artfynd/A 61434-2018 artfynd.xlsx", "A 61434-2018")</f>
        <v/>
      </c>
      <c r="T4">
        <f>HYPERLINK("https://klasma.github.io/Logging_1495/kartor/A 61434-2018 karta.png", "A 61434-2018")</f>
        <v/>
      </c>
      <c r="V4">
        <f>HYPERLINK("https://klasma.github.io/Logging_1495/klagomål/A 61434-2018 FSC-klagomål.docx", "A 61434-2018")</f>
        <v/>
      </c>
      <c r="W4">
        <f>HYPERLINK("https://klasma.github.io/Logging_1495/klagomålsmail/A 61434-2018 FSC-klagomål mail.docx", "A 61434-2018")</f>
        <v/>
      </c>
      <c r="X4">
        <f>HYPERLINK("https://klasma.github.io/Logging_1495/tillsyn/A 61434-2018 tillsynsbegäran.docx", "A 61434-2018")</f>
        <v/>
      </c>
      <c r="Y4">
        <f>HYPERLINK("https://klasma.github.io/Logging_1495/tillsynsmail/A 61434-2018 tillsynsbegäran mail.docx", "A 61434-2018")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45363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45363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1300-2019</t>
        </is>
      </c>
      <c r="B7" s="1" t="n">
        <v>43473</v>
      </c>
      <c r="C7" s="1" t="n">
        <v>45363</v>
      </c>
      <c r="D7" t="inlineStr">
        <is>
          <t>VÄSTRA GÖTALANDS LÄN</t>
        </is>
      </c>
      <c r="E7" t="inlineStr">
        <is>
          <t>SKARA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HYPERLINK("https://klasma.github.io/Logging_1495/artfynd/A 1300-2019 artfynd.xlsx", "A 1300-2019")</f>
        <v/>
      </c>
      <c r="T7">
        <f>HYPERLINK("https://klasma.github.io/Logging_1495/kartor/A 1300-2019 karta.png", "A 1300-2019")</f>
        <v/>
      </c>
      <c r="V7">
        <f>HYPERLINK("https://klasma.github.io/Logging_1495/klagomål/A 1300-2019 FSC-klagomål.docx", "A 1300-2019")</f>
        <v/>
      </c>
      <c r="W7">
        <f>HYPERLINK("https://klasma.github.io/Logging_1495/klagomålsmail/A 1300-2019 FSC-klagomål mail.docx", "A 1300-2019")</f>
        <v/>
      </c>
      <c r="X7">
        <f>HYPERLINK("https://klasma.github.io/Logging_1495/tillsyn/A 1300-2019 tillsynsbegäran.docx", "A 1300-2019")</f>
        <v/>
      </c>
      <c r="Y7">
        <f>HYPERLINK("https://klasma.github.io/Logging_1495/tillsynsmail/A 1300-2019 tillsynsbegäran mail.docx", "A 1300-2019")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45363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45363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45363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45363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45363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45363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45363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45363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45363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45363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45363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45363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45363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45363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45363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34945-2018</t>
        </is>
      </c>
      <c r="B23" s="1" t="n">
        <v>43321</v>
      </c>
      <c r="C23" s="1" t="n">
        <v>45363</v>
      </c>
      <c r="D23" t="inlineStr">
        <is>
          <t>VÄSTRA GÖTALANDS LÄN</t>
        </is>
      </c>
      <c r="E23" t="inlineStr">
        <is>
          <t>SKARA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36922-2018</t>
        </is>
      </c>
      <c r="B24" s="1" t="n">
        <v>43332</v>
      </c>
      <c r="C24" s="1" t="n">
        <v>45363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37730-2018</t>
        </is>
      </c>
      <c r="B25" s="1" t="n">
        <v>43335</v>
      </c>
      <c r="C25" s="1" t="n">
        <v>45363</v>
      </c>
      <c r="D25" t="inlineStr">
        <is>
          <t>VÄSTRA GÖTALANDS LÄN</t>
        </is>
      </c>
      <c r="E25" t="inlineStr">
        <is>
          <t>SKARA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42067-2018</t>
        </is>
      </c>
      <c r="B26" s="1" t="n">
        <v>43349</v>
      </c>
      <c r="C26" s="1" t="n">
        <v>45363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49745-2018</t>
        </is>
      </c>
      <c r="B27" s="1" t="n">
        <v>43375</v>
      </c>
      <c r="C27" s="1" t="n">
        <v>45363</v>
      </c>
      <c r="D27" t="inlineStr">
        <is>
          <t>VÄSTRA GÖTALANDS LÄN</t>
        </is>
      </c>
      <c r="E27" t="inlineStr">
        <is>
          <t>SKARA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53666-2018</t>
        </is>
      </c>
      <c r="B28" s="1" t="n">
        <v>43385</v>
      </c>
      <c r="C28" s="1" t="n">
        <v>45363</v>
      </c>
      <c r="D28" t="inlineStr">
        <is>
          <t>VÄSTRA GÖTALANDS LÄN</t>
        </is>
      </c>
      <c r="E28" t="inlineStr">
        <is>
          <t>SKARA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53104-2018</t>
        </is>
      </c>
      <c r="B29" s="1" t="n">
        <v>43390</v>
      </c>
      <c r="C29" s="1" t="n">
        <v>45363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56879-2018</t>
        </is>
      </c>
      <c r="B30" s="1" t="n">
        <v>43395</v>
      </c>
      <c r="C30" s="1" t="n">
        <v>45363</v>
      </c>
      <c r="D30" t="inlineStr">
        <is>
          <t>VÄSTRA GÖTALANDS LÄN</t>
        </is>
      </c>
      <c r="E30" t="inlineStr">
        <is>
          <t>SKARA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61323-2018</t>
        </is>
      </c>
      <c r="B31" s="1" t="n">
        <v>43412</v>
      </c>
      <c r="C31" s="1" t="n">
        <v>45363</v>
      </c>
      <c r="D31" t="inlineStr">
        <is>
          <t>VÄSTRA GÖTALANDS LÄN</t>
        </is>
      </c>
      <c r="E31" t="inlineStr">
        <is>
          <t>SKARA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61810-2018</t>
        </is>
      </c>
      <c r="B32" s="1" t="n">
        <v>43425</v>
      </c>
      <c r="C32" s="1" t="n">
        <v>45363</v>
      </c>
      <c r="D32" t="inlineStr">
        <is>
          <t>VÄSTRA GÖTALANDS LÄN</t>
        </is>
      </c>
      <c r="E32" t="inlineStr">
        <is>
          <t>SKARA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61812-2018</t>
        </is>
      </c>
      <c r="B33" s="1" t="n">
        <v>43425</v>
      </c>
      <c r="C33" s="1" t="n">
        <v>45363</v>
      </c>
      <c r="D33" t="inlineStr">
        <is>
          <t>VÄSTRA GÖTALANDS LÄN</t>
        </is>
      </c>
      <c r="E33" t="inlineStr">
        <is>
          <t>SKARA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65632-2018</t>
        </is>
      </c>
      <c r="B34" s="1" t="n">
        <v>43426</v>
      </c>
      <c r="C34" s="1" t="n">
        <v>45363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64048-2018</t>
        </is>
      </c>
      <c r="B35" s="1" t="n">
        <v>43430</v>
      </c>
      <c r="C35" s="1" t="n">
        <v>45363</v>
      </c>
      <c r="D35" t="inlineStr">
        <is>
          <t>VÄSTRA GÖTALANDS LÄN</t>
        </is>
      </c>
      <c r="E35" t="inlineStr">
        <is>
          <t>SKARA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66765-2018</t>
        </is>
      </c>
      <c r="B36" s="1" t="n">
        <v>43437</v>
      </c>
      <c r="C36" s="1" t="n">
        <v>45363</v>
      </c>
      <c r="D36" t="inlineStr">
        <is>
          <t>VÄSTRA GÖTALANDS LÄN</t>
        </is>
      </c>
      <c r="E36" t="inlineStr">
        <is>
          <t>SKARA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67331-2018</t>
        </is>
      </c>
      <c r="B37" s="1" t="n">
        <v>43439</v>
      </c>
      <c r="C37" s="1" t="n">
        <v>45363</v>
      </c>
      <c r="D37" t="inlineStr">
        <is>
          <t>VÄSTRA GÖTALANDS LÄN</t>
        </is>
      </c>
      <c r="E37" t="inlineStr">
        <is>
          <t>SKARA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67436-2018</t>
        </is>
      </c>
      <c r="B38" s="1" t="n">
        <v>43439</v>
      </c>
      <c r="C38" s="1" t="n">
        <v>45363</v>
      </c>
      <c r="D38" t="inlineStr">
        <is>
          <t>VÄSTRA GÖTALANDS LÄN</t>
        </is>
      </c>
      <c r="E38" t="inlineStr">
        <is>
          <t>SKARA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67973-2018</t>
        </is>
      </c>
      <c r="B39" s="1" t="n">
        <v>43440</v>
      </c>
      <c r="C39" s="1" t="n">
        <v>45363</v>
      </c>
      <c r="D39" t="inlineStr">
        <is>
          <t>VÄSTRA GÖTALANDS LÄN</t>
        </is>
      </c>
      <c r="E39" t="inlineStr">
        <is>
          <t>SKARA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67975-2018</t>
        </is>
      </c>
      <c r="B40" s="1" t="n">
        <v>43440</v>
      </c>
      <c r="C40" s="1" t="n">
        <v>45363</v>
      </c>
      <c r="D40" t="inlineStr">
        <is>
          <t>VÄSTRA GÖTALANDS LÄN</t>
        </is>
      </c>
      <c r="E40" t="inlineStr">
        <is>
          <t>SKARA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71412-2018</t>
        </is>
      </c>
      <c r="B41" s="1" t="n">
        <v>43453</v>
      </c>
      <c r="C41" s="1" t="n">
        <v>45363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71362-2018</t>
        </is>
      </c>
      <c r="B42" s="1" t="n">
        <v>43453</v>
      </c>
      <c r="C42" s="1" t="n">
        <v>45363</v>
      </c>
      <c r="D42" t="inlineStr">
        <is>
          <t>VÄSTRA GÖTALANDS LÄN</t>
        </is>
      </c>
      <c r="E42" t="inlineStr">
        <is>
          <t>SKARA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71670-2018</t>
        </is>
      </c>
      <c r="B43" s="1" t="n">
        <v>43454</v>
      </c>
      <c r="C43" s="1" t="n">
        <v>45363</v>
      </c>
      <c r="D43" t="inlineStr">
        <is>
          <t>VÄSTRA GÖTALANDS LÄN</t>
        </is>
      </c>
      <c r="E43" t="inlineStr">
        <is>
          <t>SKARA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71700-2018</t>
        </is>
      </c>
      <c r="B44" s="1" t="n">
        <v>43454</v>
      </c>
      <c r="C44" s="1" t="n">
        <v>45363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2841-2019</t>
        </is>
      </c>
      <c r="B45" s="1" t="n">
        <v>43472</v>
      </c>
      <c r="C45" s="1" t="n">
        <v>45363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2834-2019</t>
        </is>
      </c>
      <c r="B46" s="1" t="n">
        <v>43472</v>
      </c>
      <c r="C46" s="1" t="n">
        <v>45363</v>
      </c>
      <c r="D46" t="inlineStr">
        <is>
          <t>VÄSTRA GÖTALANDS LÄN</t>
        </is>
      </c>
      <c r="E46" t="inlineStr">
        <is>
          <t>SKARA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1360-2019</t>
        </is>
      </c>
      <c r="B47" s="1" t="n">
        <v>43473</v>
      </c>
      <c r="C47" s="1" t="n">
        <v>45363</v>
      </c>
      <c r="D47" t="inlineStr">
        <is>
          <t>VÄSTRA GÖTALANDS LÄN</t>
        </is>
      </c>
      <c r="E47" t="inlineStr">
        <is>
          <t>SKARA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1386-2019</t>
        </is>
      </c>
      <c r="B48" s="1" t="n">
        <v>43473</v>
      </c>
      <c r="C48" s="1" t="n">
        <v>45363</v>
      </c>
      <c r="D48" t="inlineStr">
        <is>
          <t>VÄSTRA GÖTALANDS LÄN</t>
        </is>
      </c>
      <c r="E48" t="inlineStr">
        <is>
          <t>SKARA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1457-2019</t>
        </is>
      </c>
      <c r="B49" s="1" t="n">
        <v>43473</v>
      </c>
      <c r="C49" s="1" t="n">
        <v>45363</v>
      </c>
      <c r="D49" t="inlineStr">
        <is>
          <t>VÄSTRA GÖTALANDS LÄN</t>
        </is>
      </c>
      <c r="E49" t="inlineStr">
        <is>
          <t>SKARA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1459-2019</t>
        </is>
      </c>
      <c r="B50" s="1" t="n">
        <v>43473</v>
      </c>
      <c r="C50" s="1" t="n">
        <v>45363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1369-2019</t>
        </is>
      </c>
      <c r="B51" s="1" t="n">
        <v>43473</v>
      </c>
      <c r="C51" s="1" t="n">
        <v>45363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8374-2019</t>
        </is>
      </c>
      <c r="B52" s="1" t="n">
        <v>43495</v>
      </c>
      <c r="C52" s="1" t="n">
        <v>45363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9510-2019</t>
        </is>
      </c>
      <c r="B53" s="1" t="n">
        <v>43507</v>
      </c>
      <c r="C53" s="1" t="n">
        <v>45363</v>
      </c>
      <c r="D53" t="inlineStr">
        <is>
          <t>VÄSTRA GÖTALANDS LÄN</t>
        </is>
      </c>
      <c r="E53" t="inlineStr">
        <is>
          <t>SKARA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10218-2019</t>
        </is>
      </c>
      <c r="B54" s="1" t="n">
        <v>43510</v>
      </c>
      <c r="C54" s="1" t="n">
        <v>45363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10221-2019</t>
        </is>
      </c>
      <c r="B55" s="1" t="n">
        <v>43510</v>
      </c>
      <c r="C55" s="1" t="n">
        <v>45363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10737-2019</t>
        </is>
      </c>
      <c r="B56" s="1" t="n">
        <v>43514</v>
      </c>
      <c r="C56" s="1" t="n">
        <v>45363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11222-2019</t>
        </is>
      </c>
      <c r="B57" s="1" t="n">
        <v>43516</v>
      </c>
      <c r="C57" s="1" t="n">
        <v>45363</v>
      </c>
      <c r="D57" t="inlineStr">
        <is>
          <t>VÄSTRA GÖTALANDS LÄN</t>
        </is>
      </c>
      <c r="E57" t="inlineStr">
        <is>
          <t>SKARA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11296-2019</t>
        </is>
      </c>
      <c r="B58" s="1" t="n">
        <v>43516</v>
      </c>
      <c r="C58" s="1" t="n">
        <v>45363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11509-2019</t>
        </is>
      </c>
      <c r="B59" s="1" t="n">
        <v>43517</v>
      </c>
      <c r="C59" s="1" t="n">
        <v>45363</v>
      </c>
      <c r="D59" t="inlineStr">
        <is>
          <t>VÄSTRA GÖTALANDS LÄN</t>
        </is>
      </c>
      <c r="E59" t="inlineStr">
        <is>
          <t>SKARA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12039-2019</t>
        </is>
      </c>
      <c r="B60" s="1" t="n">
        <v>43522</v>
      </c>
      <c r="C60" s="1" t="n">
        <v>45363</v>
      </c>
      <c r="D60" t="inlineStr">
        <is>
          <t>VÄSTRA GÖTALANDS LÄN</t>
        </is>
      </c>
      <c r="E60" t="inlineStr">
        <is>
          <t>SKARA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12133-2019</t>
        </is>
      </c>
      <c r="B61" s="1" t="n">
        <v>43522</v>
      </c>
      <c r="C61" s="1" t="n">
        <v>45363</v>
      </c>
      <c r="D61" t="inlineStr">
        <is>
          <t>VÄSTRA GÖTALANDS LÄN</t>
        </is>
      </c>
      <c r="E61" t="inlineStr">
        <is>
          <t>SKARA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12041-2019</t>
        </is>
      </c>
      <c r="B62" s="1" t="n">
        <v>43522</v>
      </c>
      <c r="C62" s="1" t="n">
        <v>45363</v>
      </c>
      <c r="D62" t="inlineStr">
        <is>
          <t>VÄSTRA GÖTALANDS LÄN</t>
        </is>
      </c>
      <c r="E62" t="inlineStr">
        <is>
          <t>SKARA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12037-2019</t>
        </is>
      </c>
      <c r="B63" s="1" t="n">
        <v>43522</v>
      </c>
      <c r="C63" s="1" t="n">
        <v>45363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12166-2019</t>
        </is>
      </c>
      <c r="B64" s="1" t="n">
        <v>43522</v>
      </c>
      <c r="C64" s="1" t="n">
        <v>45363</v>
      </c>
      <c r="D64" t="inlineStr">
        <is>
          <t>VÄSTRA GÖTALANDS LÄN</t>
        </is>
      </c>
      <c r="E64" t="inlineStr">
        <is>
          <t>SKARA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15771-2019</t>
        </is>
      </c>
      <c r="B65" s="1" t="n">
        <v>43543</v>
      </c>
      <c r="C65" s="1" t="n">
        <v>45363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17765-2019</t>
        </is>
      </c>
      <c r="B66" s="1" t="n">
        <v>43556</v>
      </c>
      <c r="C66" s="1" t="n">
        <v>45363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18320-2019</t>
        </is>
      </c>
      <c r="B67" s="1" t="n">
        <v>43559</v>
      </c>
      <c r="C67" s="1" t="n">
        <v>45363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22741-2019</t>
        </is>
      </c>
      <c r="B68" s="1" t="n">
        <v>43588</v>
      </c>
      <c r="C68" s="1" t="n">
        <v>45363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24545-2019</t>
        </is>
      </c>
      <c r="B69" s="1" t="n">
        <v>43600</v>
      </c>
      <c r="C69" s="1" t="n">
        <v>45363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24507-2019</t>
        </is>
      </c>
      <c r="B70" s="1" t="n">
        <v>43600</v>
      </c>
      <c r="C70" s="1" t="n">
        <v>45363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26432-2019</t>
        </is>
      </c>
      <c r="B71" s="1" t="n">
        <v>43606</v>
      </c>
      <c r="C71" s="1" t="n">
        <v>45363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25579-2019</t>
        </is>
      </c>
      <c r="B72" s="1" t="n">
        <v>43607</v>
      </c>
      <c r="C72" s="1" t="n">
        <v>45363</v>
      </c>
      <c r="D72" t="inlineStr">
        <is>
          <t>VÄSTRA GÖTALANDS LÄN</t>
        </is>
      </c>
      <c r="E72" t="inlineStr">
        <is>
          <t>SKARA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26418-2019</t>
        </is>
      </c>
      <c r="B73" s="1" t="n">
        <v>43612</v>
      </c>
      <c r="C73" s="1" t="n">
        <v>45363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26570-2019</t>
        </is>
      </c>
      <c r="B74" s="1" t="n">
        <v>43612</v>
      </c>
      <c r="C74" s="1" t="n">
        <v>45363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26577-2019</t>
        </is>
      </c>
      <c r="B75" s="1" t="n">
        <v>43612</v>
      </c>
      <c r="C75" s="1" t="n">
        <v>45363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26599-2019</t>
        </is>
      </c>
      <c r="B76" s="1" t="n">
        <v>43612</v>
      </c>
      <c r="C76" s="1" t="n">
        <v>45363</v>
      </c>
      <c r="D76" t="inlineStr">
        <is>
          <t>VÄSTRA GÖTALANDS LÄN</t>
        </is>
      </c>
      <c r="E76" t="inlineStr">
        <is>
          <t>SKARA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27646-2019</t>
        </is>
      </c>
      <c r="B77" s="1" t="n">
        <v>43619</v>
      </c>
      <c r="C77" s="1" t="n">
        <v>45363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27648-2019</t>
        </is>
      </c>
      <c r="B78" s="1" t="n">
        <v>43619</v>
      </c>
      <c r="C78" s="1" t="n">
        <v>45363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30494-2019</t>
        </is>
      </c>
      <c r="B79" s="1" t="n">
        <v>43633</v>
      </c>
      <c r="C79" s="1" t="n">
        <v>45363</v>
      </c>
      <c r="D79" t="inlineStr">
        <is>
          <t>VÄSTRA GÖTALANDS LÄN</t>
        </is>
      </c>
      <c r="E79" t="inlineStr">
        <is>
          <t>SKARA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30743-2019</t>
        </is>
      </c>
      <c r="B80" s="1" t="n">
        <v>43636</v>
      </c>
      <c r="C80" s="1" t="n">
        <v>45363</v>
      </c>
      <c r="D80" t="inlineStr">
        <is>
          <t>VÄSTRA GÖTALANDS LÄN</t>
        </is>
      </c>
      <c r="E80" t="inlineStr">
        <is>
          <t>SKARA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30865-2019</t>
        </is>
      </c>
      <c r="B81" s="1" t="n">
        <v>43636</v>
      </c>
      <c r="C81" s="1" t="n">
        <v>45363</v>
      </c>
      <c r="D81" t="inlineStr">
        <is>
          <t>VÄSTRA GÖTALANDS LÄN</t>
        </is>
      </c>
      <c r="E81" t="inlineStr">
        <is>
          <t>SKARA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36576-2019</t>
        </is>
      </c>
      <c r="B82" s="1" t="n">
        <v>43671</v>
      </c>
      <c r="C82" s="1" t="n">
        <v>45363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38517-2019</t>
        </is>
      </c>
      <c r="B83" s="1" t="n">
        <v>43685</v>
      </c>
      <c r="C83" s="1" t="n">
        <v>45363</v>
      </c>
      <c r="D83" t="inlineStr">
        <is>
          <t>VÄSTRA GÖTALANDS LÄN</t>
        </is>
      </c>
      <c r="E83" t="inlineStr">
        <is>
          <t>SKARA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40754-2019</t>
        </is>
      </c>
      <c r="B84" s="1" t="n">
        <v>43697</v>
      </c>
      <c r="C84" s="1" t="n">
        <v>45363</v>
      </c>
      <c r="D84" t="inlineStr">
        <is>
          <t>VÄSTRA GÖTALANDS LÄN</t>
        </is>
      </c>
      <c r="E84" t="inlineStr">
        <is>
          <t>SKARA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40852-2019</t>
        </is>
      </c>
      <c r="B85" s="1" t="n">
        <v>43697</v>
      </c>
      <c r="C85" s="1" t="n">
        <v>45363</v>
      </c>
      <c r="D85" t="inlineStr">
        <is>
          <t>VÄSTRA GÖTALANDS LÄN</t>
        </is>
      </c>
      <c r="E85" t="inlineStr">
        <is>
          <t>SKARA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41689-2019</t>
        </is>
      </c>
      <c r="B86" s="1" t="n">
        <v>43699</v>
      </c>
      <c r="C86" s="1" t="n">
        <v>45363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41692-2019</t>
        </is>
      </c>
      <c r="B87" s="1" t="n">
        <v>43699</v>
      </c>
      <c r="C87" s="1" t="n">
        <v>45363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43748-2019</t>
        </is>
      </c>
      <c r="B88" s="1" t="n">
        <v>43707</v>
      </c>
      <c r="C88" s="1" t="n">
        <v>45363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44799-2019</t>
        </is>
      </c>
      <c r="B89" s="1" t="n">
        <v>43712</v>
      </c>
      <c r="C89" s="1" t="n">
        <v>45363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44795-2019</t>
        </is>
      </c>
      <c r="B90" s="1" t="n">
        <v>43712</v>
      </c>
      <c r="C90" s="1" t="n">
        <v>45363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44793-2019</t>
        </is>
      </c>
      <c r="B91" s="1" t="n">
        <v>43712</v>
      </c>
      <c r="C91" s="1" t="n">
        <v>45363</v>
      </c>
      <c r="D91" t="inlineStr">
        <is>
          <t>VÄSTRA GÖTALANDS LÄN</t>
        </is>
      </c>
      <c r="E91" t="inlineStr">
        <is>
          <t>SKARA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45696-2019</t>
        </is>
      </c>
      <c r="B92" s="1" t="n">
        <v>43717</v>
      </c>
      <c r="C92" s="1" t="n">
        <v>45363</v>
      </c>
      <c r="D92" t="inlineStr">
        <is>
          <t>VÄSTRA GÖTALANDS LÄN</t>
        </is>
      </c>
      <c r="E92" t="inlineStr">
        <is>
          <t>SKARA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45804-2019</t>
        </is>
      </c>
      <c r="B93" s="1" t="n">
        <v>43717</v>
      </c>
      <c r="C93" s="1" t="n">
        <v>45363</v>
      </c>
      <c r="D93" t="inlineStr">
        <is>
          <t>VÄSTRA GÖTALANDS LÄN</t>
        </is>
      </c>
      <c r="E93" t="inlineStr">
        <is>
          <t>SKARA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45700-2019</t>
        </is>
      </c>
      <c r="B94" s="1" t="n">
        <v>43717</v>
      </c>
      <c r="C94" s="1" t="n">
        <v>45363</v>
      </c>
      <c r="D94" t="inlineStr">
        <is>
          <t>VÄSTRA GÖTALANDS LÄN</t>
        </is>
      </c>
      <c r="E94" t="inlineStr">
        <is>
          <t>SKARA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45705-2019</t>
        </is>
      </c>
      <c r="B95" s="1" t="n">
        <v>43717</v>
      </c>
      <c r="C95" s="1" t="n">
        <v>45363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45670-2019</t>
        </is>
      </c>
      <c r="B96" s="1" t="n">
        <v>43717</v>
      </c>
      <c r="C96" s="1" t="n">
        <v>45363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45744-2019</t>
        </is>
      </c>
      <c r="B97" s="1" t="n">
        <v>43717</v>
      </c>
      <c r="C97" s="1" t="n">
        <v>45363</v>
      </c>
      <c r="D97" t="inlineStr">
        <is>
          <t>VÄSTRA GÖTALANDS LÄN</t>
        </is>
      </c>
      <c r="E97" t="inlineStr">
        <is>
          <t>SKARA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45800-2019</t>
        </is>
      </c>
      <c r="B98" s="1" t="n">
        <v>43717</v>
      </c>
      <c r="C98" s="1" t="n">
        <v>45363</v>
      </c>
      <c r="D98" t="inlineStr">
        <is>
          <t>VÄSTRA GÖTALANDS LÄN</t>
        </is>
      </c>
      <c r="E98" t="inlineStr">
        <is>
          <t>SKARA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45712-2019</t>
        </is>
      </c>
      <c r="B99" s="1" t="n">
        <v>43717</v>
      </c>
      <c r="C99" s="1" t="n">
        <v>45363</v>
      </c>
      <c r="D99" t="inlineStr">
        <is>
          <t>VÄSTRA GÖTALANDS LÄN</t>
        </is>
      </c>
      <c r="E99" t="inlineStr">
        <is>
          <t>SKARA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45751-2019</t>
        </is>
      </c>
      <c r="B100" s="1" t="n">
        <v>43717</v>
      </c>
      <c r="C100" s="1" t="n">
        <v>45363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45742-2019</t>
        </is>
      </c>
      <c r="B101" s="1" t="n">
        <v>43717</v>
      </c>
      <c r="C101" s="1" t="n">
        <v>45363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48436-2019</t>
        </is>
      </c>
      <c r="B102" s="1" t="n">
        <v>43727</v>
      </c>
      <c r="C102" s="1" t="n">
        <v>45363</v>
      </c>
      <c r="D102" t="inlineStr">
        <is>
          <t>VÄSTRA GÖTALANDS LÄN</t>
        </is>
      </c>
      <c r="E102" t="inlineStr">
        <is>
          <t>SKARA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51012-2019</t>
        </is>
      </c>
      <c r="B103" s="1" t="n">
        <v>43739</v>
      </c>
      <c r="C103" s="1" t="n">
        <v>45363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51014-2019</t>
        </is>
      </c>
      <c r="B104" s="1" t="n">
        <v>43739</v>
      </c>
      <c r="C104" s="1" t="n">
        <v>45363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51832-2019</t>
        </is>
      </c>
      <c r="B105" s="1" t="n">
        <v>43741</v>
      </c>
      <c r="C105" s="1" t="n">
        <v>45363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51983-2019</t>
        </is>
      </c>
      <c r="B106" s="1" t="n">
        <v>43742</v>
      </c>
      <c r="C106" s="1" t="n">
        <v>45363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53091-2019</t>
        </is>
      </c>
      <c r="B107" s="1" t="n">
        <v>43747</v>
      </c>
      <c r="C107" s="1" t="n">
        <v>45363</v>
      </c>
      <c r="D107" t="inlineStr">
        <is>
          <t>VÄSTRA GÖTALANDS LÄN</t>
        </is>
      </c>
      <c r="E107" t="inlineStr">
        <is>
          <t>SKARA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53045-2019</t>
        </is>
      </c>
      <c r="B108" s="1" t="n">
        <v>43747</v>
      </c>
      <c r="C108" s="1" t="n">
        <v>45363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57192-2019</t>
        </is>
      </c>
      <c r="B109" s="1" t="n">
        <v>43767</v>
      </c>
      <c r="C109" s="1" t="n">
        <v>45363</v>
      </c>
      <c r="D109" t="inlineStr">
        <is>
          <t>VÄSTRA GÖTALANDS LÄN</t>
        </is>
      </c>
      <c r="E109" t="inlineStr">
        <is>
          <t>SKARA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58291-2019</t>
        </is>
      </c>
      <c r="B110" s="1" t="n">
        <v>43770</v>
      </c>
      <c r="C110" s="1" t="n">
        <v>45363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58244-2019</t>
        </is>
      </c>
      <c r="B111" s="1" t="n">
        <v>43770</v>
      </c>
      <c r="C111" s="1" t="n">
        <v>45363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58871-2019</t>
        </is>
      </c>
      <c r="B112" s="1" t="n">
        <v>43774</v>
      </c>
      <c r="C112" s="1" t="n">
        <v>45363</v>
      </c>
      <c r="D112" t="inlineStr">
        <is>
          <t>VÄSTRA GÖTALANDS LÄN</t>
        </is>
      </c>
      <c r="E112" t="inlineStr">
        <is>
          <t>SKARA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59829-2019</t>
        </is>
      </c>
      <c r="B113" s="1" t="n">
        <v>43774</v>
      </c>
      <c r="C113" s="1" t="n">
        <v>45363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61017-2019</t>
        </is>
      </c>
      <c r="B114" s="1" t="n">
        <v>43782</v>
      </c>
      <c r="C114" s="1" t="n">
        <v>45363</v>
      </c>
      <c r="D114" t="inlineStr">
        <is>
          <t>VÄSTRA GÖTALANDS LÄN</t>
        </is>
      </c>
      <c r="E114" t="inlineStr">
        <is>
          <t>SKARA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62967-2019</t>
        </is>
      </c>
      <c r="B115" s="1" t="n">
        <v>43790</v>
      </c>
      <c r="C115" s="1" t="n">
        <v>45363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67645-2019</t>
        </is>
      </c>
      <c r="B116" s="1" t="n">
        <v>43815</v>
      </c>
      <c r="C116" s="1" t="n">
        <v>45363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67925-2019</t>
        </is>
      </c>
      <c r="B117" s="1" t="n">
        <v>43816</v>
      </c>
      <c r="C117" s="1" t="n">
        <v>45363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67923-2019</t>
        </is>
      </c>
      <c r="B118" s="1" t="n">
        <v>43816</v>
      </c>
      <c r="C118" s="1" t="n">
        <v>45363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68731-2019</t>
        </is>
      </c>
      <c r="B119" s="1" t="n">
        <v>43819</v>
      </c>
      <c r="C119" s="1" t="n">
        <v>45363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68732-2019</t>
        </is>
      </c>
      <c r="B120" s="1" t="n">
        <v>43819</v>
      </c>
      <c r="C120" s="1" t="n">
        <v>45363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3584-2020</t>
        </is>
      </c>
      <c r="B121" s="1" t="n">
        <v>43853</v>
      </c>
      <c r="C121" s="1" t="n">
        <v>45363</v>
      </c>
      <c r="D121" t="inlineStr">
        <is>
          <t>VÄSTRA GÖTALANDS LÄN</t>
        </is>
      </c>
      <c r="E121" t="inlineStr">
        <is>
          <t>SKARA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3582-2020</t>
        </is>
      </c>
      <c r="B122" s="1" t="n">
        <v>43853</v>
      </c>
      <c r="C122" s="1" t="n">
        <v>45363</v>
      </c>
      <c r="D122" t="inlineStr">
        <is>
          <t>VÄSTRA GÖTALANDS LÄN</t>
        </is>
      </c>
      <c r="E122" t="inlineStr">
        <is>
          <t>SKARA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3599-2020</t>
        </is>
      </c>
      <c r="B123" s="1" t="n">
        <v>43853</v>
      </c>
      <c r="C123" s="1" t="n">
        <v>45363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3593-2020</t>
        </is>
      </c>
      <c r="B124" s="1" t="n">
        <v>43853</v>
      </c>
      <c r="C124" s="1" t="n">
        <v>45363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3632-2020</t>
        </is>
      </c>
      <c r="B125" s="1" t="n">
        <v>43853</v>
      </c>
      <c r="C125" s="1" t="n">
        <v>45363</v>
      </c>
      <c r="D125" t="inlineStr">
        <is>
          <t>VÄSTRA GÖTALANDS LÄN</t>
        </is>
      </c>
      <c r="E125" t="inlineStr">
        <is>
          <t>SKARA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5398-2020</t>
        </is>
      </c>
      <c r="B126" s="1" t="n">
        <v>43860</v>
      </c>
      <c r="C126" s="1" t="n">
        <v>45363</v>
      </c>
      <c r="D126" t="inlineStr">
        <is>
          <t>VÄSTRA GÖTALANDS LÄN</t>
        </is>
      </c>
      <c r="E126" t="inlineStr">
        <is>
          <t>SKARA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5402-2020</t>
        </is>
      </c>
      <c r="B127" s="1" t="n">
        <v>43860</v>
      </c>
      <c r="C127" s="1" t="n">
        <v>45363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5980-2020</t>
        </is>
      </c>
      <c r="B128" s="1" t="n">
        <v>43865</v>
      </c>
      <c r="C128" s="1" t="n">
        <v>45363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5986-2020</t>
        </is>
      </c>
      <c r="B129" s="1" t="n">
        <v>43865</v>
      </c>
      <c r="C129" s="1" t="n">
        <v>45363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7528-2020</t>
        </is>
      </c>
      <c r="B130" s="1" t="n">
        <v>43872</v>
      </c>
      <c r="C130" s="1" t="n">
        <v>45363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7611-2020</t>
        </is>
      </c>
      <c r="B131" s="1" t="n">
        <v>43872</v>
      </c>
      <c r="C131" s="1" t="n">
        <v>45363</v>
      </c>
      <c r="D131" t="inlineStr">
        <is>
          <t>VÄSTRA GÖTALANDS LÄN</t>
        </is>
      </c>
      <c r="E131" t="inlineStr">
        <is>
          <t>SKARA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7608-2020</t>
        </is>
      </c>
      <c r="B132" s="1" t="n">
        <v>43872</v>
      </c>
      <c r="C132" s="1" t="n">
        <v>45363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7617-2020</t>
        </is>
      </c>
      <c r="B133" s="1" t="n">
        <v>43872</v>
      </c>
      <c r="C133" s="1" t="n">
        <v>45363</v>
      </c>
      <c r="D133" t="inlineStr">
        <is>
          <t>VÄSTRA GÖTALANDS LÄN</t>
        </is>
      </c>
      <c r="E133" t="inlineStr">
        <is>
          <t>SKARA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7624-2020</t>
        </is>
      </c>
      <c r="B134" s="1" t="n">
        <v>43872</v>
      </c>
      <c r="C134" s="1" t="n">
        <v>45363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7625-2020</t>
        </is>
      </c>
      <c r="B135" s="1" t="n">
        <v>43872</v>
      </c>
      <c r="C135" s="1" t="n">
        <v>45363</v>
      </c>
      <c r="D135" t="inlineStr">
        <is>
          <t>VÄSTRA GÖTALANDS LÄN</t>
        </is>
      </c>
      <c r="E135" t="inlineStr">
        <is>
          <t>SKARA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7532-2020</t>
        </is>
      </c>
      <c r="B136" s="1" t="n">
        <v>43872</v>
      </c>
      <c r="C136" s="1" t="n">
        <v>45363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10179-2020</t>
        </is>
      </c>
      <c r="B137" s="1" t="n">
        <v>43885</v>
      </c>
      <c r="C137" s="1" t="n">
        <v>45363</v>
      </c>
      <c r="D137" t="inlineStr">
        <is>
          <t>VÄSTRA GÖTALANDS LÄN</t>
        </is>
      </c>
      <c r="E137" t="inlineStr">
        <is>
          <t>SKARA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12073-2020</t>
        </is>
      </c>
      <c r="B138" s="1" t="n">
        <v>43895</v>
      </c>
      <c r="C138" s="1" t="n">
        <v>45363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13159-2020</t>
        </is>
      </c>
      <c r="B139" s="1" t="n">
        <v>43901</v>
      </c>
      <c r="C139" s="1" t="n">
        <v>45363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13205-2020</t>
        </is>
      </c>
      <c r="B140" s="1" t="n">
        <v>43901</v>
      </c>
      <c r="C140" s="1" t="n">
        <v>45363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14722-2020</t>
        </is>
      </c>
      <c r="B141" s="1" t="n">
        <v>43909</v>
      </c>
      <c r="C141" s="1" t="n">
        <v>45363</v>
      </c>
      <c r="D141" t="inlineStr">
        <is>
          <t>VÄSTRA GÖTALANDS LÄN</t>
        </is>
      </c>
      <c r="E141" t="inlineStr">
        <is>
          <t>SKARA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15214-2020</t>
        </is>
      </c>
      <c r="B142" s="1" t="n">
        <v>43913</v>
      </c>
      <c r="C142" s="1" t="n">
        <v>45363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15558-2020</t>
        </is>
      </c>
      <c r="B143" s="1" t="n">
        <v>43914</v>
      </c>
      <c r="C143" s="1" t="n">
        <v>45363</v>
      </c>
      <c r="D143" t="inlineStr">
        <is>
          <t>VÄSTRA GÖTALANDS LÄN</t>
        </is>
      </c>
      <c r="E143" t="inlineStr">
        <is>
          <t>SKARA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16085-2020</t>
        </is>
      </c>
      <c r="B144" s="1" t="n">
        <v>43916</v>
      </c>
      <c r="C144" s="1" t="n">
        <v>45363</v>
      </c>
      <c r="D144" t="inlineStr">
        <is>
          <t>VÄSTRA GÖTALANDS LÄN</t>
        </is>
      </c>
      <c r="E144" t="inlineStr">
        <is>
          <t>SKARA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21513-2020</t>
        </is>
      </c>
      <c r="B145" s="1" t="n">
        <v>43956</v>
      </c>
      <c r="C145" s="1" t="n">
        <v>45363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22197-2020</t>
        </is>
      </c>
      <c r="B146" s="1" t="n">
        <v>43962</v>
      </c>
      <c r="C146" s="1" t="n">
        <v>45363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22557-2020</t>
        </is>
      </c>
      <c r="B147" s="1" t="n">
        <v>43963</v>
      </c>
      <c r="C147" s="1" t="n">
        <v>45363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23544-2020</t>
        </is>
      </c>
      <c r="B148" s="1" t="n">
        <v>43969</v>
      </c>
      <c r="C148" s="1" t="n">
        <v>45363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24288-2020</t>
        </is>
      </c>
      <c r="B149" s="1" t="n">
        <v>43976</v>
      </c>
      <c r="C149" s="1" t="n">
        <v>45363</v>
      </c>
      <c r="D149" t="inlineStr">
        <is>
          <t>VÄSTRA GÖTALANDS LÄN</t>
        </is>
      </c>
      <c r="E149" t="inlineStr">
        <is>
          <t>SKARA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24553-2020</t>
        </is>
      </c>
      <c r="B150" s="1" t="n">
        <v>43977</v>
      </c>
      <c r="C150" s="1" t="n">
        <v>45363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26702-2020</t>
        </is>
      </c>
      <c r="B151" s="1" t="n">
        <v>43990</v>
      </c>
      <c r="C151" s="1" t="n">
        <v>45363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26704-2020</t>
        </is>
      </c>
      <c r="B152" s="1" t="n">
        <v>43990</v>
      </c>
      <c r="C152" s="1" t="n">
        <v>45363</v>
      </c>
      <c r="D152" t="inlineStr">
        <is>
          <t>VÄSTRA GÖTALANDS LÄN</t>
        </is>
      </c>
      <c r="E152" t="inlineStr">
        <is>
          <t>SKARA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31099-2020</t>
        </is>
      </c>
      <c r="B153" s="1" t="n">
        <v>44012</v>
      </c>
      <c r="C153" s="1" t="n">
        <v>45363</v>
      </c>
      <c r="D153" t="inlineStr">
        <is>
          <t>VÄSTRA GÖTALANDS LÄN</t>
        </is>
      </c>
      <c r="E153" t="inlineStr">
        <is>
          <t>SKARA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33394-2020</t>
        </is>
      </c>
      <c r="B154" s="1" t="n">
        <v>44022</v>
      </c>
      <c r="C154" s="1" t="n">
        <v>45363</v>
      </c>
      <c r="D154" t="inlineStr">
        <is>
          <t>VÄSTRA GÖTALANDS LÄN</t>
        </is>
      </c>
      <c r="E154" t="inlineStr">
        <is>
          <t>SKARA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33388-2020</t>
        </is>
      </c>
      <c r="B155" s="1" t="n">
        <v>44022</v>
      </c>
      <c r="C155" s="1" t="n">
        <v>45363</v>
      </c>
      <c r="D155" t="inlineStr">
        <is>
          <t>VÄSTRA GÖTALANDS LÄN</t>
        </is>
      </c>
      <c r="E155" t="inlineStr">
        <is>
          <t>SKARA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35896-2020</t>
        </is>
      </c>
      <c r="B156" s="1" t="n">
        <v>44047</v>
      </c>
      <c r="C156" s="1" t="n">
        <v>45363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35897-2020</t>
        </is>
      </c>
      <c r="B157" s="1" t="n">
        <v>44047</v>
      </c>
      <c r="C157" s="1" t="n">
        <v>45363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36103-2020</t>
        </is>
      </c>
      <c r="B158" s="1" t="n">
        <v>44048</v>
      </c>
      <c r="C158" s="1" t="n">
        <v>45363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36675-2020</t>
        </is>
      </c>
      <c r="B159" s="1" t="n">
        <v>44051</v>
      </c>
      <c r="C159" s="1" t="n">
        <v>45363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37439-2020</t>
        </is>
      </c>
      <c r="B160" s="1" t="n">
        <v>44055</v>
      </c>
      <c r="C160" s="1" t="n">
        <v>45363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40045-2020</t>
        </is>
      </c>
      <c r="B161" s="1" t="n">
        <v>44067</v>
      </c>
      <c r="C161" s="1" t="n">
        <v>45363</v>
      </c>
      <c r="D161" t="inlineStr">
        <is>
          <t>VÄSTRA GÖTALANDS LÄN</t>
        </is>
      </c>
      <c r="E161" t="inlineStr">
        <is>
          <t>SKARA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40677-2020</t>
        </is>
      </c>
      <c r="B162" s="1" t="n">
        <v>44069</v>
      </c>
      <c r="C162" s="1" t="n">
        <v>45363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41855-2020</t>
        </is>
      </c>
      <c r="B163" s="1" t="n">
        <v>44074</v>
      </c>
      <c r="C163" s="1" t="n">
        <v>45363</v>
      </c>
      <c r="D163" t="inlineStr">
        <is>
          <t>VÄSTRA GÖTALANDS LÄN</t>
        </is>
      </c>
      <c r="E163" t="inlineStr">
        <is>
          <t>SKARA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41858-2020</t>
        </is>
      </c>
      <c r="B164" s="1" t="n">
        <v>44074</v>
      </c>
      <c r="C164" s="1" t="n">
        <v>45363</v>
      </c>
      <c r="D164" t="inlineStr">
        <is>
          <t>VÄSTRA GÖTALANDS LÄN</t>
        </is>
      </c>
      <c r="E164" t="inlineStr">
        <is>
          <t>SKARA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41856-2020</t>
        </is>
      </c>
      <c r="B165" s="1" t="n">
        <v>44074</v>
      </c>
      <c r="C165" s="1" t="n">
        <v>45363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43338-2020</t>
        </is>
      </c>
      <c r="B166" s="1" t="n">
        <v>44081</v>
      </c>
      <c r="C166" s="1" t="n">
        <v>45363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43434-2020</t>
        </is>
      </c>
      <c r="B167" s="1" t="n">
        <v>44081</v>
      </c>
      <c r="C167" s="1" t="n">
        <v>45363</v>
      </c>
      <c r="D167" t="inlineStr">
        <is>
          <t>VÄSTRA GÖTALANDS LÄN</t>
        </is>
      </c>
      <c r="E167" t="inlineStr">
        <is>
          <t>SKARA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44519-2020</t>
        </is>
      </c>
      <c r="B168" s="1" t="n">
        <v>44085</v>
      </c>
      <c r="C168" s="1" t="n">
        <v>45363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44517-2020</t>
        </is>
      </c>
      <c r="B169" s="1" t="n">
        <v>44085</v>
      </c>
      <c r="C169" s="1" t="n">
        <v>45363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44520-2020</t>
        </is>
      </c>
      <c r="B170" s="1" t="n">
        <v>44085</v>
      </c>
      <c r="C170" s="1" t="n">
        <v>45363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45413-2020</t>
        </is>
      </c>
      <c r="B171" s="1" t="n">
        <v>44089</v>
      </c>
      <c r="C171" s="1" t="n">
        <v>45363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47028-2020</t>
        </is>
      </c>
      <c r="B172" s="1" t="n">
        <v>44096</v>
      </c>
      <c r="C172" s="1" t="n">
        <v>45363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48903-2020</t>
        </is>
      </c>
      <c r="B173" s="1" t="n">
        <v>44104</v>
      </c>
      <c r="C173" s="1" t="n">
        <v>45363</v>
      </c>
      <c r="D173" t="inlineStr">
        <is>
          <t>VÄSTRA GÖTALANDS LÄN</t>
        </is>
      </c>
      <c r="E173" t="inlineStr">
        <is>
          <t>SKARA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54898-2020</t>
        </is>
      </c>
      <c r="B174" s="1" t="n">
        <v>44128</v>
      </c>
      <c r="C174" s="1" t="n">
        <v>45363</v>
      </c>
      <c r="D174" t="inlineStr">
        <is>
          <t>VÄSTRA GÖTALANDS LÄN</t>
        </is>
      </c>
      <c r="E174" t="inlineStr">
        <is>
          <t>SKARA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54899-2020</t>
        </is>
      </c>
      <c r="B175" s="1" t="n">
        <v>44128</v>
      </c>
      <c r="C175" s="1" t="n">
        <v>45363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56995-2020</t>
        </is>
      </c>
      <c r="B176" s="1" t="n">
        <v>44137</v>
      </c>
      <c r="C176" s="1" t="n">
        <v>45363</v>
      </c>
      <c r="D176" t="inlineStr">
        <is>
          <t>VÄSTRA GÖTALANDS LÄN</t>
        </is>
      </c>
      <c r="E176" t="inlineStr">
        <is>
          <t>SKARA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57207-2020</t>
        </is>
      </c>
      <c r="B177" s="1" t="n">
        <v>44139</v>
      </c>
      <c r="C177" s="1" t="n">
        <v>45363</v>
      </c>
      <c r="D177" t="inlineStr">
        <is>
          <t>VÄSTRA GÖTALANDS LÄN</t>
        </is>
      </c>
      <c r="E177" t="inlineStr">
        <is>
          <t>SKARA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59274-2020</t>
        </is>
      </c>
      <c r="B178" s="1" t="n">
        <v>44147</v>
      </c>
      <c r="C178" s="1" t="n">
        <v>45363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59498-2020</t>
        </is>
      </c>
      <c r="B179" s="1" t="n">
        <v>44148</v>
      </c>
      <c r="C179" s="1" t="n">
        <v>45363</v>
      </c>
      <c r="D179" t="inlineStr">
        <is>
          <t>VÄSTRA GÖTALANDS LÄN</t>
        </is>
      </c>
      <c r="E179" t="inlineStr">
        <is>
          <t>SKARA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59497-2020</t>
        </is>
      </c>
      <c r="B180" s="1" t="n">
        <v>44148</v>
      </c>
      <c r="C180" s="1" t="n">
        <v>45363</v>
      </c>
      <c r="D180" t="inlineStr">
        <is>
          <t>VÄSTRA GÖTALANDS LÄN</t>
        </is>
      </c>
      <c r="E180" t="inlineStr">
        <is>
          <t>SKARA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69052-2020</t>
        </is>
      </c>
      <c r="B181" s="1" t="n">
        <v>44188</v>
      </c>
      <c r="C181" s="1" t="n">
        <v>45363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539-2021</t>
        </is>
      </c>
      <c r="B182" s="1" t="n">
        <v>44201</v>
      </c>
      <c r="C182" s="1" t="n">
        <v>45363</v>
      </c>
      <c r="D182" t="inlineStr">
        <is>
          <t>VÄSTRA GÖTALANDS LÄN</t>
        </is>
      </c>
      <c r="E182" t="inlineStr">
        <is>
          <t>SKARA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3481-2021</t>
        </is>
      </c>
      <c r="B183" s="1" t="n">
        <v>44218</v>
      </c>
      <c r="C183" s="1" t="n">
        <v>45363</v>
      </c>
      <c r="D183" t="inlineStr">
        <is>
          <t>VÄSTRA GÖTALANDS LÄN</t>
        </is>
      </c>
      <c r="E183" t="inlineStr">
        <is>
          <t>SKARA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3476-2021</t>
        </is>
      </c>
      <c r="B184" s="1" t="n">
        <v>44218</v>
      </c>
      <c r="C184" s="1" t="n">
        <v>45363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5588-2021</t>
        </is>
      </c>
      <c r="B185" s="1" t="n">
        <v>44230</v>
      </c>
      <c r="C185" s="1" t="n">
        <v>45363</v>
      </c>
      <c r="D185" t="inlineStr">
        <is>
          <t>VÄSTRA GÖTALANDS LÄN</t>
        </is>
      </c>
      <c r="E185" t="inlineStr">
        <is>
          <t>SKARA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5959-2021</t>
        </is>
      </c>
      <c r="B186" s="1" t="n">
        <v>44231</v>
      </c>
      <c r="C186" s="1" t="n">
        <v>45363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8466-2021</t>
        </is>
      </c>
      <c r="B187" s="1" t="n">
        <v>44245</v>
      </c>
      <c r="C187" s="1" t="n">
        <v>45363</v>
      </c>
      <c r="D187" t="inlineStr">
        <is>
          <t>VÄSTRA GÖTALANDS LÄN</t>
        </is>
      </c>
      <c r="E187" t="inlineStr">
        <is>
          <t>SKARA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11934-2021</t>
        </is>
      </c>
      <c r="B188" s="1" t="n">
        <v>44265</v>
      </c>
      <c r="C188" s="1" t="n">
        <v>45363</v>
      </c>
      <c r="D188" t="inlineStr">
        <is>
          <t>VÄSTRA GÖTALANDS LÄN</t>
        </is>
      </c>
      <c r="E188" t="inlineStr">
        <is>
          <t>SKARA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12503-2021</t>
        </is>
      </c>
      <c r="B189" s="1" t="n">
        <v>44268</v>
      </c>
      <c r="C189" s="1" t="n">
        <v>45363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21061-2021</t>
        </is>
      </c>
      <c r="B190" s="1" t="n">
        <v>44319</v>
      </c>
      <c r="C190" s="1" t="n">
        <v>45363</v>
      </c>
      <c r="D190" t="inlineStr">
        <is>
          <t>VÄSTRA GÖTALANDS LÄN</t>
        </is>
      </c>
      <c r="E190" t="inlineStr">
        <is>
          <t>SKARA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21064-2021</t>
        </is>
      </c>
      <c r="B191" s="1" t="n">
        <v>44319</v>
      </c>
      <c r="C191" s="1" t="n">
        <v>45363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21059-2021</t>
        </is>
      </c>
      <c r="B192" s="1" t="n">
        <v>44319</v>
      </c>
      <c r="C192" s="1" t="n">
        <v>45363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</v>
      </c>
      <c r="C193" s="1" t="n">
        <v>45363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23800-2021</t>
        </is>
      </c>
      <c r="B194" s="1" t="n">
        <v>44334</v>
      </c>
      <c r="C194" s="1" t="n">
        <v>45363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28632-2021</t>
        </is>
      </c>
      <c r="B195" s="1" t="n">
        <v>44357</v>
      </c>
      <c r="C195" s="1" t="n">
        <v>45363</v>
      </c>
      <c r="D195" t="inlineStr">
        <is>
          <t>VÄSTRA GÖTALANDS LÄN</t>
        </is>
      </c>
      <c r="E195" t="inlineStr">
        <is>
          <t>SKARA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30058-2021</t>
        </is>
      </c>
      <c r="B196" s="1" t="n">
        <v>44363</v>
      </c>
      <c r="C196" s="1" t="n">
        <v>45363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30057-2021</t>
        </is>
      </c>
      <c r="B197" s="1" t="n">
        <v>44363</v>
      </c>
      <c r="C197" s="1" t="n">
        <v>45363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30060-2021</t>
        </is>
      </c>
      <c r="B198" s="1" t="n">
        <v>44363</v>
      </c>
      <c r="C198" s="1" t="n">
        <v>45363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30056-2021</t>
        </is>
      </c>
      <c r="B199" s="1" t="n">
        <v>44363</v>
      </c>
      <c r="C199" s="1" t="n">
        <v>45363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30687-2021</t>
        </is>
      </c>
      <c r="B200" s="1" t="n">
        <v>44365</v>
      </c>
      <c r="C200" s="1" t="n">
        <v>45363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31987-2021</t>
        </is>
      </c>
      <c r="B201" s="1" t="n">
        <v>44370</v>
      </c>
      <c r="C201" s="1" t="n">
        <v>45363</v>
      </c>
      <c r="D201" t="inlineStr">
        <is>
          <t>VÄSTRA GÖTALANDS LÄN</t>
        </is>
      </c>
      <c r="E201" t="inlineStr">
        <is>
          <t>SKARA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31984-2021</t>
        </is>
      </c>
      <c r="B202" s="1" t="n">
        <v>44370</v>
      </c>
      <c r="C202" s="1" t="n">
        <v>45363</v>
      </c>
      <c r="D202" t="inlineStr">
        <is>
          <t>VÄSTRA GÖTALANDS LÄN</t>
        </is>
      </c>
      <c r="E202" t="inlineStr">
        <is>
          <t>SKARA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33940-2021</t>
        </is>
      </c>
      <c r="B203" s="1" t="n">
        <v>44378</v>
      </c>
      <c r="C203" s="1" t="n">
        <v>45363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33938-2021</t>
        </is>
      </c>
      <c r="B204" s="1" t="n">
        <v>44378</v>
      </c>
      <c r="C204" s="1" t="n">
        <v>45363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34656-2021</t>
        </is>
      </c>
      <c r="B205" s="1" t="n">
        <v>44382</v>
      </c>
      <c r="C205" s="1" t="n">
        <v>45363</v>
      </c>
      <c r="D205" t="inlineStr">
        <is>
          <t>VÄSTRA GÖTALANDS LÄN</t>
        </is>
      </c>
      <c r="E205" t="inlineStr">
        <is>
          <t>SKARA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34658-2021</t>
        </is>
      </c>
      <c r="B206" s="1" t="n">
        <v>44382</v>
      </c>
      <c r="C206" s="1" t="n">
        <v>45363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35768-2021</t>
        </is>
      </c>
      <c r="B207" s="1" t="n">
        <v>44386</v>
      </c>
      <c r="C207" s="1" t="n">
        <v>45363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35765-2021</t>
        </is>
      </c>
      <c r="B208" s="1" t="n">
        <v>44386</v>
      </c>
      <c r="C208" s="1" t="n">
        <v>45363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40946-2021</t>
        </is>
      </c>
      <c r="B209" s="1" t="n">
        <v>44421</v>
      </c>
      <c r="C209" s="1" t="n">
        <v>45363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45363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49374-2021</t>
        </is>
      </c>
      <c r="B211" s="1" t="n">
        <v>44454</v>
      </c>
      <c r="C211" s="1" t="n">
        <v>45363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49431-2021</t>
        </is>
      </c>
      <c r="B212" s="1" t="n">
        <v>44454</v>
      </c>
      <c r="C212" s="1" t="n">
        <v>45363</v>
      </c>
      <c r="D212" t="inlineStr">
        <is>
          <t>VÄSTRA GÖTALANDS LÄN</t>
        </is>
      </c>
      <c r="E212" t="inlineStr">
        <is>
          <t>SKARA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49391-2021</t>
        </is>
      </c>
      <c r="B213" s="1" t="n">
        <v>44454</v>
      </c>
      <c r="C213" s="1" t="n">
        <v>45363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50741-2021</t>
        </is>
      </c>
      <c r="B214" s="1" t="n">
        <v>44460</v>
      </c>
      <c r="C214" s="1" t="n">
        <v>45363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52971-2021</t>
        </is>
      </c>
      <c r="B215" s="1" t="n">
        <v>44467</v>
      </c>
      <c r="C215" s="1" t="n">
        <v>45363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54919-2021</t>
        </is>
      </c>
      <c r="B216" s="1" t="n">
        <v>44474</v>
      </c>
      <c r="C216" s="1" t="n">
        <v>45363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60649-2021</t>
        </is>
      </c>
      <c r="B217" s="1" t="n">
        <v>44496</v>
      </c>
      <c r="C217" s="1" t="n">
        <v>45363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60654-2021</t>
        </is>
      </c>
      <c r="B218" s="1" t="n">
        <v>44496</v>
      </c>
      <c r="C218" s="1" t="n">
        <v>45363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60840-2021</t>
        </is>
      </c>
      <c r="B219" s="1" t="n">
        <v>44497</v>
      </c>
      <c r="C219" s="1" t="n">
        <v>45363</v>
      </c>
      <c r="D219" t="inlineStr">
        <is>
          <t>VÄSTRA GÖTALANDS LÄN</t>
        </is>
      </c>
      <c r="E219" t="inlineStr">
        <is>
          <t>SKARA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68932-2021</t>
        </is>
      </c>
      <c r="B220" s="1" t="n">
        <v>44530</v>
      </c>
      <c r="C220" s="1" t="n">
        <v>45363</v>
      </c>
      <c r="D220" t="inlineStr">
        <is>
          <t>VÄSTRA GÖTALANDS LÄN</t>
        </is>
      </c>
      <c r="E220" t="inlineStr">
        <is>
          <t>SKARA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70412-2021</t>
        </is>
      </c>
      <c r="B221" s="1" t="n">
        <v>44536</v>
      </c>
      <c r="C221" s="1" t="n">
        <v>45363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72213-2021</t>
        </is>
      </c>
      <c r="B222" s="1" t="n">
        <v>44544</v>
      </c>
      <c r="C222" s="1" t="n">
        <v>45363</v>
      </c>
      <c r="D222" t="inlineStr">
        <is>
          <t>VÄSTRA GÖTALANDS LÄN</t>
        </is>
      </c>
      <c r="E222" t="inlineStr">
        <is>
          <t>SKARA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74438-2021</t>
        </is>
      </c>
      <c r="B223" s="1" t="n">
        <v>44560</v>
      </c>
      <c r="C223" s="1" t="n">
        <v>45363</v>
      </c>
      <c r="D223" t="inlineStr">
        <is>
          <t>VÄSTRA GÖTALANDS LÄN</t>
        </is>
      </c>
      <c r="E223" t="inlineStr">
        <is>
          <t>SKARA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74491-2021</t>
        </is>
      </c>
      <c r="B224" s="1" t="n">
        <v>44560</v>
      </c>
      <c r="C224" s="1" t="n">
        <v>45363</v>
      </c>
      <c r="D224" t="inlineStr">
        <is>
          <t>VÄSTRA GÖTALANDS LÄN</t>
        </is>
      </c>
      <c r="E224" t="inlineStr">
        <is>
          <t>SKARA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599-2022</t>
        </is>
      </c>
      <c r="B225" s="1" t="n">
        <v>44567</v>
      </c>
      <c r="C225" s="1" t="n">
        <v>45363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1364-2022</t>
        </is>
      </c>
      <c r="B226" s="1" t="n">
        <v>44573</v>
      </c>
      <c r="C226" s="1" t="n">
        <v>45363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2146-2022</t>
        </is>
      </c>
      <c r="B227" s="1" t="n">
        <v>44578</v>
      </c>
      <c r="C227" s="1" t="n">
        <v>45363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3822-2022</t>
        </is>
      </c>
      <c r="B228" s="1" t="n">
        <v>44587</v>
      </c>
      <c r="C228" s="1" t="n">
        <v>45363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4409-2022</t>
        </is>
      </c>
      <c r="B229" s="1" t="n">
        <v>44589</v>
      </c>
      <c r="C229" s="1" t="n">
        <v>45363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5594-2022</t>
        </is>
      </c>
      <c r="B230" s="1" t="n">
        <v>44595</v>
      </c>
      <c r="C230" s="1" t="n">
        <v>45363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5598-2022</t>
        </is>
      </c>
      <c r="B231" s="1" t="n">
        <v>44595</v>
      </c>
      <c r="C231" s="1" t="n">
        <v>45363</v>
      </c>
      <c r="D231" t="inlineStr">
        <is>
          <t>VÄSTRA GÖTALANDS LÄN</t>
        </is>
      </c>
      <c r="E231" t="inlineStr">
        <is>
          <t>SKARA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5600-2022</t>
        </is>
      </c>
      <c r="B232" s="1" t="n">
        <v>44595</v>
      </c>
      <c r="C232" s="1" t="n">
        <v>45363</v>
      </c>
      <c r="D232" t="inlineStr">
        <is>
          <t>VÄSTRA GÖTALANDS LÄN</t>
        </is>
      </c>
      <c r="E232" t="inlineStr">
        <is>
          <t>SKARA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6251-2022</t>
        </is>
      </c>
      <c r="B233" s="1" t="n">
        <v>44600</v>
      </c>
      <c r="C233" s="1" t="n">
        <v>45363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8810-2022</t>
        </is>
      </c>
      <c r="B234" s="1" t="n">
        <v>44614</v>
      </c>
      <c r="C234" s="1" t="n">
        <v>45363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8807-2022</t>
        </is>
      </c>
      <c r="B235" s="1" t="n">
        <v>44614</v>
      </c>
      <c r="C235" s="1" t="n">
        <v>45363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Kyrkan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9006-2022</t>
        </is>
      </c>
      <c r="B236" s="1" t="n">
        <v>44615</v>
      </c>
      <c r="C236" s="1" t="n">
        <v>45363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12889-2022</t>
        </is>
      </c>
      <c r="B237" s="1" t="n">
        <v>44642</v>
      </c>
      <c r="C237" s="1" t="n">
        <v>45363</v>
      </c>
      <c r="D237" t="inlineStr">
        <is>
          <t>VÄSTRA GÖTALANDS LÄN</t>
        </is>
      </c>
      <c r="E237" t="inlineStr">
        <is>
          <t>SKARA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14206-2022</t>
        </is>
      </c>
      <c r="B238" s="1" t="n">
        <v>44651</v>
      </c>
      <c r="C238" s="1" t="n">
        <v>45363</v>
      </c>
      <c r="D238" t="inlineStr">
        <is>
          <t>VÄSTRA GÖTALANDS LÄN</t>
        </is>
      </c>
      <c r="E238" t="inlineStr">
        <is>
          <t>SKARA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15292-2022</t>
        </is>
      </c>
      <c r="B239" s="1" t="n">
        <v>44659</v>
      </c>
      <c r="C239" s="1" t="n">
        <v>45363</v>
      </c>
      <c r="D239" t="inlineStr">
        <is>
          <t>VÄSTRA GÖTALANDS LÄN</t>
        </is>
      </c>
      <c r="E239" t="inlineStr">
        <is>
          <t>SKARA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15415-2022</t>
        </is>
      </c>
      <c r="B240" s="1" t="n">
        <v>44659</v>
      </c>
      <c r="C240" s="1" t="n">
        <v>45363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17698-2022</t>
        </is>
      </c>
      <c r="B241" s="1" t="n">
        <v>44680</v>
      </c>
      <c r="C241" s="1" t="n">
        <v>45363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18704-2022</t>
        </is>
      </c>
      <c r="B242" s="1" t="n">
        <v>44687</v>
      </c>
      <c r="C242" s="1" t="n">
        <v>45363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18701-2022</t>
        </is>
      </c>
      <c r="B243" s="1" t="n">
        <v>44687</v>
      </c>
      <c r="C243" s="1" t="n">
        <v>45363</v>
      </c>
      <c r="D243" t="inlineStr">
        <is>
          <t>VÄSTRA GÖTALANDS LÄN</t>
        </is>
      </c>
      <c r="E243" t="inlineStr">
        <is>
          <t>SKARA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20098-2022</t>
        </is>
      </c>
      <c r="B244" s="1" t="n">
        <v>44698</v>
      </c>
      <c r="C244" s="1" t="n">
        <v>45363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20870-2022</t>
        </is>
      </c>
      <c r="B245" s="1" t="n">
        <v>44701</v>
      </c>
      <c r="C245" s="1" t="n">
        <v>45363</v>
      </c>
      <c r="D245" t="inlineStr">
        <is>
          <t>VÄSTRA GÖTALANDS LÄN</t>
        </is>
      </c>
      <c r="E245" t="inlineStr">
        <is>
          <t>SKARA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22585-2022</t>
        </is>
      </c>
      <c r="B246" s="1" t="n">
        <v>44714</v>
      </c>
      <c r="C246" s="1" t="n">
        <v>45363</v>
      </c>
      <c r="D246" t="inlineStr">
        <is>
          <t>VÄSTRA GÖTALANDS LÄN</t>
        </is>
      </c>
      <c r="E246" t="inlineStr">
        <is>
          <t>SKARA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24976-2022</t>
        </is>
      </c>
      <c r="B247" s="1" t="n">
        <v>44728</v>
      </c>
      <c r="C247" s="1" t="n">
        <v>45363</v>
      </c>
      <c r="D247" t="inlineStr">
        <is>
          <t>VÄSTRA GÖTALANDS LÄN</t>
        </is>
      </c>
      <c r="E247" t="inlineStr">
        <is>
          <t>SKARA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27668-2022</t>
        </is>
      </c>
      <c r="B248" s="1" t="n">
        <v>44743</v>
      </c>
      <c r="C248" s="1" t="n">
        <v>45363</v>
      </c>
      <c r="D248" t="inlineStr">
        <is>
          <t>VÄSTRA GÖTALANDS LÄN</t>
        </is>
      </c>
      <c r="E248" t="inlineStr">
        <is>
          <t>SKARA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29763-2022</t>
        </is>
      </c>
      <c r="B249" s="1" t="n">
        <v>44755</v>
      </c>
      <c r="C249" s="1" t="n">
        <v>45363</v>
      </c>
      <c r="D249" t="inlineStr">
        <is>
          <t>VÄSTRA GÖTALANDS LÄN</t>
        </is>
      </c>
      <c r="E249" t="inlineStr">
        <is>
          <t>SKARA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29874-2022</t>
        </is>
      </c>
      <c r="B250" s="1" t="n">
        <v>44756</v>
      </c>
      <c r="C250" s="1" t="n">
        <v>45363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32043-2022</t>
        </is>
      </c>
      <c r="B251" s="1" t="n">
        <v>44778</v>
      </c>
      <c r="C251" s="1" t="n">
        <v>45363</v>
      </c>
      <c r="D251" t="inlineStr">
        <is>
          <t>VÄSTRA GÖTALANDS LÄN</t>
        </is>
      </c>
      <c r="E251" t="inlineStr">
        <is>
          <t>SKARA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35572-2022</t>
        </is>
      </c>
      <c r="B252" s="1" t="n">
        <v>44799</v>
      </c>
      <c r="C252" s="1" t="n">
        <v>45363</v>
      </c>
      <c r="D252" t="inlineStr">
        <is>
          <t>VÄSTRA GÖTALANDS LÄN</t>
        </is>
      </c>
      <c r="E252" t="inlineStr">
        <is>
          <t>SKARA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35607-2022</t>
        </is>
      </c>
      <c r="B253" s="1" t="n">
        <v>44799</v>
      </c>
      <c r="C253" s="1" t="n">
        <v>45363</v>
      </c>
      <c r="D253" t="inlineStr">
        <is>
          <t>VÄSTRA GÖTALANDS LÄN</t>
        </is>
      </c>
      <c r="E253" t="inlineStr">
        <is>
          <t>SKARA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37089-2022</t>
        </is>
      </c>
      <c r="B254" s="1" t="n">
        <v>44806</v>
      </c>
      <c r="C254" s="1" t="n">
        <v>45363</v>
      </c>
      <c r="D254" t="inlineStr">
        <is>
          <t>VÄSTRA GÖTALANDS LÄN</t>
        </is>
      </c>
      <c r="E254" t="inlineStr">
        <is>
          <t>SKARA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38210-2022</t>
        </is>
      </c>
      <c r="B255" s="1" t="n">
        <v>44812</v>
      </c>
      <c r="C255" s="1" t="n">
        <v>45363</v>
      </c>
      <c r="D255" t="inlineStr">
        <is>
          <t>VÄSTRA GÖTALANDS LÄN</t>
        </is>
      </c>
      <c r="E255" t="inlineStr">
        <is>
          <t>SKARA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38205-2022</t>
        </is>
      </c>
      <c r="B256" s="1" t="n">
        <v>44812</v>
      </c>
      <c r="C256" s="1" t="n">
        <v>45363</v>
      </c>
      <c r="D256" t="inlineStr">
        <is>
          <t>VÄSTRA GÖTALANDS LÄN</t>
        </is>
      </c>
      <c r="E256" t="inlineStr">
        <is>
          <t>SKARA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40164-2022</t>
        </is>
      </c>
      <c r="B257" s="1" t="n">
        <v>44818</v>
      </c>
      <c r="C257" s="1" t="n">
        <v>45363</v>
      </c>
      <c r="D257" t="inlineStr">
        <is>
          <t>VÄSTRA GÖTALANDS LÄN</t>
        </is>
      </c>
      <c r="E257" t="inlineStr">
        <is>
          <t>SKARA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41660-2022</t>
        </is>
      </c>
      <c r="B258" s="1" t="n">
        <v>44827</v>
      </c>
      <c r="C258" s="1" t="n">
        <v>45363</v>
      </c>
      <c r="D258" t="inlineStr">
        <is>
          <t>VÄSTRA GÖTALANDS LÄN</t>
        </is>
      </c>
      <c r="E258" t="inlineStr">
        <is>
          <t>SKARA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41562-2022</t>
        </is>
      </c>
      <c r="B259" s="1" t="n">
        <v>44827</v>
      </c>
      <c r="C259" s="1" t="n">
        <v>45363</v>
      </c>
      <c r="D259" t="inlineStr">
        <is>
          <t>VÄSTRA GÖTALANDS LÄN</t>
        </is>
      </c>
      <c r="E259" t="inlineStr">
        <is>
          <t>SKARA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42875-2022</t>
        </is>
      </c>
      <c r="B260" s="1" t="n">
        <v>44832</v>
      </c>
      <c r="C260" s="1" t="n">
        <v>45363</v>
      </c>
      <c r="D260" t="inlineStr">
        <is>
          <t>VÄSTRA GÖTALANDS LÄN</t>
        </is>
      </c>
      <c r="E260" t="inlineStr">
        <is>
          <t>SKARA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42873-2022</t>
        </is>
      </c>
      <c r="B261" s="1" t="n">
        <v>44832</v>
      </c>
      <c r="C261" s="1" t="n">
        <v>45363</v>
      </c>
      <c r="D261" t="inlineStr">
        <is>
          <t>VÄSTRA GÖTALANDS LÄN</t>
        </is>
      </c>
      <c r="E261" t="inlineStr">
        <is>
          <t>SKARA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42874-2022</t>
        </is>
      </c>
      <c r="B262" s="1" t="n">
        <v>44832</v>
      </c>
      <c r="C262" s="1" t="n">
        <v>45363</v>
      </c>
      <c r="D262" t="inlineStr">
        <is>
          <t>VÄSTRA GÖTALANDS LÄN</t>
        </is>
      </c>
      <c r="E262" t="inlineStr">
        <is>
          <t>SKARA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45159-2022</t>
        </is>
      </c>
      <c r="B263" s="1" t="n">
        <v>44844</v>
      </c>
      <c r="C263" s="1" t="n">
        <v>45363</v>
      </c>
      <c r="D263" t="inlineStr">
        <is>
          <t>VÄSTRA GÖTALANDS LÄN</t>
        </is>
      </c>
      <c r="E263" t="inlineStr">
        <is>
          <t>SKARA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48098-2022</t>
        </is>
      </c>
      <c r="B264" s="1" t="n">
        <v>44856</v>
      </c>
      <c r="C264" s="1" t="n">
        <v>45363</v>
      </c>
      <c r="D264" t="inlineStr">
        <is>
          <t>VÄSTRA GÖTALANDS LÄN</t>
        </is>
      </c>
      <c r="E264" t="inlineStr">
        <is>
          <t>SKARA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48099-2022</t>
        </is>
      </c>
      <c r="B265" s="1" t="n">
        <v>44856</v>
      </c>
      <c r="C265" s="1" t="n">
        <v>45363</v>
      </c>
      <c r="D265" t="inlineStr">
        <is>
          <t>VÄSTRA GÖTALANDS LÄN</t>
        </is>
      </c>
      <c r="E265" t="inlineStr">
        <is>
          <t>SKARA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48990-2022</t>
        </is>
      </c>
      <c r="B266" s="1" t="n">
        <v>44860</v>
      </c>
      <c r="C266" s="1" t="n">
        <v>45363</v>
      </c>
      <c r="D266" t="inlineStr">
        <is>
          <t>VÄSTRA GÖTALANDS LÄN</t>
        </is>
      </c>
      <c r="E266" t="inlineStr">
        <is>
          <t>SKARA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49002-2022</t>
        </is>
      </c>
      <c r="B267" s="1" t="n">
        <v>44860</v>
      </c>
      <c r="C267" s="1" t="n">
        <v>45363</v>
      </c>
      <c r="D267" t="inlineStr">
        <is>
          <t>VÄSTRA GÖTALANDS LÄN</t>
        </is>
      </c>
      <c r="E267" t="inlineStr">
        <is>
          <t>SKARA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48997-2022</t>
        </is>
      </c>
      <c r="B268" s="1" t="n">
        <v>44860</v>
      </c>
      <c r="C268" s="1" t="n">
        <v>45363</v>
      </c>
      <c r="D268" t="inlineStr">
        <is>
          <t>VÄSTRA GÖTALANDS LÄN</t>
        </is>
      </c>
      <c r="E268" t="inlineStr">
        <is>
          <t>SKARA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49004-2022</t>
        </is>
      </c>
      <c r="B269" s="1" t="n">
        <v>44860</v>
      </c>
      <c r="C269" s="1" t="n">
        <v>45363</v>
      </c>
      <c r="D269" t="inlineStr">
        <is>
          <t>VÄSTRA GÖTALANDS LÄN</t>
        </is>
      </c>
      <c r="E269" t="inlineStr">
        <is>
          <t>SKARA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48985-2022</t>
        </is>
      </c>
      <c r="B270" s="1" t="n">
        <v>44860</v>
      </c>
      <c r="C270" s="1" t="n">
        <v>45363</v>
      </c>
      <c r="D270" t="inlineStr">
        <is>
          <t>VÄSTRA GÖTALANDS LÄN</t>
        </is>
      </c>
      <c r="E270" t="inlineStr">
        <is>
          <t>SKARA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49006-2022</t>
        </is>
      </c>
      <c r="B271" s="1" t="n">
        <v>44860</v>
      </c>
      <c r="C271" s="1" t="n">
        <v>45363</v>
      </c>
      <c r="D271" t="inlineStr">
        <is>
          <t>VÄSTRA GÖTALANDS LÄN</t>
        </is>
      </c>
      <c r="E271" t="inlineStr">
        <is>
          <t>SKARA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48988-2022</t>
        </is>
      </c>
      <c r="B272" s="1" t="n">
        <v>44860</v>
      </c>
      <c r="C272" s="1" t="n">
        <v>45363</v>
      </c>
      <c r="D272" t="inlineStr">
        <is>
          <t>VÄSTRA GÖTALANDS LÄN</t>
        </is>
      </c>
      <c r="E272" t="inlineStr">
        <is>
          <t>SKARA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52537-2022</t>
        </is>
      </c>
      <c r="B273" s="1" t="n">
        <v>44874</v>
      </c>
      <c r="C273" s="1" t="n">
        <v>45363</v>
      </c>
      <c r="D273" t="inlineStr">
        <is>
          <t>VÄSTRA GÖTALANDS LÄN</t>
        </is>
      </c>
      <c r="E273" t="inlineStr">
        <is>
          <t>SKARA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55246-2022</t>
        </is>
      </c>
      <c r="B274" s="1" t="n">
        <v>44887</v>
      </c>
      <c r="C274" s="1" t="n">
        <v>45363</v>
      </c>
      <c r="D274" t="inlineStr">
        <is>
          <t>VÄSTRA GÖTALANDS LÄN</t>
        </is>
      </c>
      <c r="E274" t="inlineStr">
        <is>
          <t>SKARA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55247-2022</t>
        </is>
      </c>
      <c r="B275" s="1" t="n">
        <v>44887</v>
      </c>
      <c r="C275" s="1" t="n">
        <v>45363</v>
      </c>
      <c r="D275" t="inlineStr">
        <is>
          <t>VÄSTRA GÖTALANDS LÄN</t>
        </is>
      </c>
      <c r="E275" t="inlineStr">
        <is>
          <t>SKARA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56444-2022</t>
        </is>
      </c>
      <c r="B276" s="1" t="n">
        <v>44892</v>
      </c>
      <c r="C276" s="1" t="n">
        <v>45363</v>
      </c>
      <c r="D276" t="inlineStr">
        <is>
          <t>VÄSTRA GÖTALANDS LÄN</t>
        </is>
      </c>
      <c r="E276" t="inlineStr">
        <is>
          <t>SKARA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56849-2022</t>
        </is>
      </c>
      <c r="B277" s="1" t="n">
        <v>44894</v>
      </c>
      <c r="C277" s="1" t="n">
        <v>45363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57238-2022</t>
        </is>
      </c>
      <c r="B278" s="1" t="n">
        <v>44895</v>
      </c>
      <c r="C278" s="1" t="n">
        <v>45363</v>
      </c>
      <c r="D278" t="inlineStr">
        <is>
          <t>VÄSTRA GÖTALANDS LÄN</t>
        </is>
      </c>
      <c r="E278" t="inlineStr">
        <is>
          <t>SKARA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57258-2022</t>
        </is>
      </c>
      <c r="B279" s="1" t="n">
        <v>44895</v>
      </c>
      <c r="C279" s="1" t="n">
        <v>45363</v>
      </c>
      <c r="D279" t="inlineStr">
        <is>
          <t>VÄSTRA GÖTALANDS LÄN</t>
        </is>
      </c>
      <c r="E279" t="inlineStr">
        <is>
          <t>SKARA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59002-2022</t>
        </is>
      </c>
      <c r="B280" s="1" t="n">
        <v>44903</v>
      </c>
      <c r="C280" s="1" t="n">
        <v>45363</v>
      </c>
      <c r="D280" t="inlineStr">
        <is>
          <t>VÄSTRA GÖTALANDS LÄN</t>
        </is>
      </c>
      <c r="E280" t="inlineStr">
        <is>
          <t>SKARA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59842-2022</t>
        </is>
      </c>
      <c r="B281" s="1" t="n">
        <v>44908</v>
      </c>
      <c r="C281" s="1" t="n">
        <v>45363</v>
      </c>
      <c r="D281" t="inlineStr">
        <is>
          <t>VÄSTRA GÖTALANDS LÄN</t>
        </is>
      </c>
      <c r="E281" t="inlineStr">
        <is>
          <t>SKARA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59996-2022</t>
        </is>
      </c>
      <c r="B282" s="1" t="n">
        <v>44909</v>
      </c>
      <c r="C282" s="1" t="n">
        <v>45363</v>
      </c>
      <c r="D282" t="inlineStr">
        <is>
          <t>VÄSTRA GÖTALANDS LÄN</t>
        </is>
      </c>
      <c r="E282" t="inlineStr">
        <is>
          <t>SKARA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1566-2023</t>
        </is>
      </c>
      <c r="B283" s="1" t="n">
        <v>44937</v>
      </c>
      <c r="C283" s="1" t="n">
        <v>45363</v>
      </c>
      <c r="D283" t="inlineStr">
        <is>
          <t>VÄSTRA GÖTALANDS LÄN</t>
        </is>
      </c>
      <c r="E283" t="inlineStr">
        <is>
          <t>SKARA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1567-2023</t>
        </is>
      </c>
      <c r="B284" s="1" t="n">
        <v>44937</v>
      </c>
      <c r="C284" s="1" t="n">
        <v>45363</v>
      </c>
      <c r="D284" t="inlineStr">
        <is>
          <t>VÄSTRA GÖTALANDS LÄN</t>
        </is>
      </c>
      <c r="E284" t="inlineStr">
        <is>
          <t>SKARA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1830-2023</t>
        </is>
      </c>
      <c r="B285" s="1" t="n">
        <v>44938</v>
      </c>
      <c r="C285" s="1" t="n">
        <v>45363</v>
      </c>
      <c r="D285" t="inlineStr">
        <is>
          <t>VÄSTRA GÖTALANDS LÄN</t>
        </is>
      </c>
      <c r="E285" t="inlineStr">
        <is>
          <t>SKARA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1841-2023</t>
        </is>
      </c>
      <c r="B286" s="1" t="n">
        <v>44938</v>
      </c>
      <c r="C286" s="1" t="n">
        <v>45363</v>
      </c>
      <c r="D286" t="inlineStr">
        <is>
          <t>VÄSTRA GÖTALANDS LÄN</t>
        </is>
      </c>
      <c r="E286" t="inlineStr">
        <is>
          <t>SKARA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3144-2023</t>
        </is>
      </c>
      <c r="B287" s="1" t="n">
        <v>44946</v>
      </c>
      <c r="C287" s="1" t="n">
        <v>45363</v>
      </c>
      <c r="D287" t="inlineStr">
        <is>
          <t>VÄSTRA GÖTALANDS LÄN</t>
        </is>
      </c>
      <c r="E287" t="inlineStr">
        <is>
          <t>SKARA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4302-2023</t>
        </is>
      </c>
      <c r="B288" s="1" t="n">
        <v>44953</v>
      </c>
      <c r="C288" s="1" t="n">
        <v>45363</v>
      </c>
      <c r="D288" t="inlineStr">
        <is>
          <t>VÄSTRA GÖTALANDS LÄN</t>
        </is>
      </c>
      <c r="E288" t="inlineStr">
        <is>
          <t>SKARA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4306-2023</t>
        </is>
      </c>
      <c r="B289" s="1" t="n">
        <v>44953</v>
      </c>
      <c r="C289" s="1" t="n">
        <v>45363</v>
      </c>
      <c r="D289" t="inlineStr">
        <is>
          <t>VÄSTRA GÖTALANDS LÄN</t>
        </is>
      </c>
      <c r="E289" t="inlineStr">
        <is>
          <t>SKARA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5559-2023</t>
        </is>
      </c>
      <c r="B290" s="1" t="n">
        <v>44957</v>
      </c>
      <c r="C290" s="1" t="n">
        <v>45363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5267-2023</t>
        </is>
      </c>
      <c r="B291" s="1" t="n">
        <v>44959</v>
      </c>
      <c r="C291" s="1" t="n">
        <v>45363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7233-2023</t>
        </is>
      </c>
      <c r="B292" s="1" t="n">
        <v>44970</v>
      </c>
      <c r="C292" s="1" t="n">
        <v>45363</v>
      </c>
      <c r="D292" t="inlineStr">
        <is>
          <t>VÄSTRA GÖTALANDS LÄN</t>
        </is>
      </c>
      <c r="E292" t="inlineStr">
        <is>
          <t>SKARA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7946-2023</t>
        </is>
      </c>
      <c r="B293" s="1" t="n">
        <v>44973</v>
      </c>
      <c r="C293" s="1" t="n">
        <v>45363</v>
      </c>
      <c r="D293" t="inlineStr">
        <is>
          <t>VÄSTRA GÖTALANDS LÄN</t>
        </is>
      </c>
      <c r="E293" t="inlineStr">
        <is>
          <t>SKARA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8701-2023</t>
        </is>
      </c>
      <c r="B294" s="1" t="n">
        <v>44978</v>
      </c>
      <c r="C294" s="1" t="n">
        <v>45363</v>
      </c>
      <c r="D294" t="inlineStr">
        <is>
          <t>VÄSTRA GÖTALANDS LÄN</t>
        </is>
      </c>
      <c r="E294" t="inlineStr">
        <is>
          <t>SKARA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10744-2023</t>
        </is>
      </c>
      <c r="B295" s="1" t="n">
        <v>44984</v>
      </c>
      <c r="C295" s="1" t="n">
        <v>45363</v>
      </c>
      <c r="D295" t="inlineStr">
        <is>
          <t>VÄSTRA GÖTALANDS LÄN</t>
        </is>
      </c>
      <c r="E295" t="inlineStr">
        <is>
          <t>SKARA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10827-2023</t>
        </is>
      </c>
      <c r="B296" s="1" t="n">
        <v>44990</v>
      </c>
      <c r="C296" s="1" t="n">
        <v>45363</v>
      </c>
      <c r="D296" t="inlineStr">
        <is>
          <t>VÄSTRA GÖTALANDS LÄN</t>
        </is>
      </c>
      <c r="E296" t="inlineStr">
        <is>
          <t>SKARA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11900-2023</t>
        </is>
      </c>
      <c r="B297" s="1" t="n">
        <v>44995</v>
      </c>
      <c r="C297" s="1" t="n">
        <v>45363</v>
      </c>
      <c r="D297" t="inlineStr">
        <is>
          <t>VÄSTRA GÖTALANDS LÄN</t>
        </is>
      </c>
      <c r="E297" t="inlineStr">
        <is>
          <t>SKARA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11902-2023</t>
        </is>
      </c>
      <c r="B298" s="1" t="n">
        <v>44995</v>
      </c>
      <c r="C298" s="1" t="n">
        <v>45363</v>
      </c>
      <c r="D298" t="inlineStr">
        <is>
          <t>VÄSTRA GÖTALANDS LÄN</t>
        </is>
      </c>
      <c r="E298" t="inlineStr">
        <is>
          <t>SKARA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16343-2023</t>
        </is>
      </c>
      <c r="B299" s="1" t="n">
        <v>45028</v>
      </c>
      <c r="C299" s="1" t="n">
        <v>45363</v>
      </c>
      <c r="D299" t="inlineStr">
        <is>
          <t>VÄSTRA GÖTALANDS LÄN</t>
        </is>
      </c>
      <c r="E299" t="inlineStr">
        <is>
          <t>SKARA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18736-2023</t>
        </is>
      </c>
      <c r="B300" s="1" t="n">
        <v>45043</v>
      </c>
      <c r="C300" s="1" t="n">
        <v>45363</v>
      </c>
      <c r="D300" t="inlineStr">
        <is>
          <t>VÄSTRA GÖTALANDS LÄN</t>
        </is>
      </c>
      <c r="E300" t="inlineStr">
        <is>
          <t>SKARA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18734-2023</t>
        </is>
      </c>
      <c r="B301" s="1" t="n">
        <v>45043</v>
      </c>
      <c r="C301" s="1" t="n">
        <v>45363</v>
      </c>
      <c r="D301" t="inlineStr">
        <is>
          <t>VÄSTRA GÖTALANDS LÄN</t>
        </is>
      </c>
      <c r="E301" t="inlineStr">
        <is>
          <t>SKARA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18739-2023</t>
        </is>
      </c>
      <c r="B302" s="1" t="n">
        <v>45043</v>
      </c>
      <c r="C302" s="1" t="n">
        <v>45363</v>
      </c>
      <c r="D302" t="inlineStr">
        <is>
          <t>VÄSTRA GÖTALANDS LÄN</t>
        </is>
      </c>
      <c r="E302" t="inlineStr">
        <is>
          <t>SKARA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19690-2023</t>
        </is>
      </c>
      <c r="B303" s="1" t="n">
        <v>45051</v>
      </c>
      <c r="C303" s="1" t="n">
        <v>45363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19692-2023</t>
        </is>
      </c>
      <c r="B304" s="1" t="n">
        <v>45051</v>
      </c>
      <c r="C304" s="1" t="n">
        <v>45363</v>
      </c>
      <c r="D304" t="inlineStr">
        <is>
          <t>VÄSTRA GÖTALANDS LÄN</t>
        </is>
      </c>
      <c r="E304" t="inlineStr">
        <is>
          <t>SKARA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21432-2023</t>
        </is>
      </c>
      <c r="B305" s="1" t="n">
        <v>45063</v>
      </c>
      <c r="C305" s="1" t="n">
        <v>45363</v>
      </c>
      <c r="D305" t="inlineStr">
        <is>
          <t>VÄSTRA GÖTALANDS LÄN</t>
        </is>
      </c>
      <c r="E305" t="inlineStr">
        <is>
          <t>SKARA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25176-2023</t>
        </is>
      </c>
      <c r="B306" s="1" t="n">
        <v>45086</v>
      </c>
      <c r="C306" s="1" t="n">
        <v>45363</v>
      </c>
      <c r="D306" t="inlineStr">
        <is>
          <t>VÄSTRA GÖTALANDS LÄN</t>
        </is>
      </c>
      <c r="E306" t="inlineStr">
        <is>
          <t>SKARA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25898-2023</t>
        </is>
      </c>
      <c r="B307" s="1" t="n">
        <v>45090</v>
      </c>
      <c r="C307" s="1" t="n">
        <v>45363</v>
      </c>
      <c r="D307" t="inlineStr">
        <is>
          <t>VÄSTRA GÖTALANDS LÄN</t>
        </is>
      </c>
      <c r="E307" t="inlineStr">
        <is>
          <t>SKARA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25905-2023</t>
        </is>
      </c>
      <c r="B308" s="1" t="n">
        <v>45090</v>
      </c>
      <c r="C308" s="1" t="n">
        <v>45363</v>
      </c>
      <c r="D308" t="inlineStr">
        <is>
          <t>VÄSTRA GÖTALANDS LÄN</t>
        </is>
      </c>
      <c r="E308" t="inlineStr">
        <is>
          <t>SKARA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25923-2023</t>
        </is>
      </c>
      <c r="B309" s="1" t="n">
        <v>45090</v>
      </c>
      <c r="C309" s="1" t="n">
        <v>45363</v>
      </c>
      <c r="D309" t="inlineStr">
        <is>
          <t>VÄSTRA GÖTALANDS LÄN</t>
        </is>
      </c>
      <c r="E309" t="inlineStr">
        <is>
          <t>SKARA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26268-2023</t>
        </is>
      </c>
      <c r="B310" s="1" t="n">
        <v>45091</v>
      </c>
      <c r="C310" s="1" t="n">
        <v>45363</v>
      </c>
      <c r="D310" t="inlineStr">
        <is>
          <t>VÄSTRA GÖTALANDS LÄN</t>
        </is>
      </c>
      <c r="E310" t="inlineStr">
        <is>
          <t>SKARA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26290-2023</t>
        </is>
      </c>
      <c r="B311" s="1" t="n">
        <v>45091</v>
      </c>
      <c r="C311" s="1" t="n">
        <v>45363</v>
      </c>
      <c r="D311" t="inlineStr">
        <is>
          <t>VÄSTRA GÖTALANDS LÄN</t>
        </is>
      </c>
      <c r="E311" t="inlineStr">
        <is>
          <t>SKARA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26299-2023</t>
        </is>
      </c>
      <c r="B312" s="1" t="n">
        <v>45091</v>
      </c>
      <c r="C312" s="1" t="n">
        <v>45363</v>
      </c>
      <c r="D312" t="inlineStr">
        <is>
          <t>VÄSTRA GÖTALANDS LÄN</t>
        </is>
      </c>
      <c r="E312" t="inlineStr">
        <is>
          <t>SKARA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26052-2023</t>
        </is>
      </c>
      <c r="B313" s="1" t="n">
        <v>45091</v>
      </c>
      <c r="C313" s="1" t="n">
        <v>45363</v>
      </c>
      <c r="D313" t="inlineStr">
        <is>
          <t>VÄSTRA GÖTALANDS LÄN</t>
        </is>
      </c>
      <c r="E313" t="inlineStr">
        <is>
          <t>SKARA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26055-2023</t>
        </is>
      </c>
      <c r="B314" s="1" t="n">
        <v>45091</v>
      </c>
      <c r="C314" s="1" t="n">
        <v>45363</v>
      </c>
      <c r="D314" t="inlineStr">
        <is>
          <t>VÄSTRA GÖTALANDS LÄN</t>
        </is>
      </c>
      <c r="E314" t="inlineStr">
        <is>
          <t>SKARA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26064-2023</t>
        </is>
      </c>
      <c r="B315" s="1" t="n">
        <v>45091</v>
      </c>
      <c r="C315" s="1" t="n">
        <v>45363</v>
      </c>
      <c r="D315" t="inlineStr">
        <is>
          <t>VÄSTRA GÖTALANDS LÄN</t>
        </is>
      </c>
      <c r="E315" t="inlineStr">
        <is>
          <t>SKARA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26053-2023</t>
        </is>
      </c>
      <c r="B316" s="1" t="n">
        <v>45091</v>
      </c>
      <c r="C316" s="1" t="n">
        <v>45363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26082-2023</t>
        </is>
      </c>
      <c r="B317" s="1" t="n">
        <v>45091</v>
      </c>
      <c r="C317" s="1" t="n">
        <v>45363</v>
      </c>
      <c r="D317" t="inlineStr">
        <is>
          <t>VÄSTRA GÖTALANDS LÄN</t>
        </is>
      </c>
      <c r="E317" t="inlineStr">
        <is>
          <t>SKARA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26086-2023</t>
        </is>
      </c>
      <c r="B318" s="1" t="n">
        <v>45091</v>
      </c>
      <c r="C318" s="1" t="n">
        <v>45363</v>
      </c>
      <c r="D318" t="inlineStr">
        <is>
          <t>VÄSTRA GÖTALANDS LÄN</t>
        </is>
      </c>
      <c r="E318" t="inlineStr">
        <is>
          <t>SKARA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26090-2023</t>
        </is>
      </c>
      <c r="B319" s="1" t="n">
        <v>45091</v>
      </c>
      <c r="C319" s="1" t="n">
        <v>45363</v>
      </c>
      <c r="D319" t="inlineStr">
        <is>
          <t>VÄSTRA GÖTALANDS LÄN</t>
        </is>
      </c>
      <c r="E319" t="inlineStr">
        <is>
          <t>SKARA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26084-2023</t>
        </is>
      </c>
      <c r="B320" s="1" t="n">
        <v>45091</v>
      </c>
      <c r="C320" s="1" t="n">
        <v>45363</v>
      </c>
      <c r="D320" t="inlineStr">
        <is>
          <t>VÄSTRA GÖTALANDS LÄN</t>
        </is>
      </c>
      <c r="E320" t="inlineStr">
        <is>
          <t>SKARA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26089-2023</t>
        </is>
      </c>
      <c r="B321" s="1" t="n">
        <v>45091</v>
      </c>
      <c r="C321" s="1" t="n">
        <v>45363</v>
      </c>
      <c r="D321" t="inlineStr">
        <is>
          <t>VÄSTRA GÖTALANDS LÄN</t>
        </is>
      </c>
      <c r="E321" t="inlineStr">
        <is>
          <t>SKARA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26091-2023</t>
        </is>
      </c>
      <c r="B322" s="1" t="n">
        <v>45091</v>
      </c>
      <c r="C322" s="1" t="n">
        <v>45363</v>
      </c>
      <c r="D322" t="inlineStr">
        <is>
          <t>VÄSTRA GÖTALANDS LÄN</t>
        </is>
      </c>
      <c r="E322" t="inlineStr">
        <is>
          <t>SKARA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27120-2023</t>
        </is>
      </c>
      <c r="B323" s="1" t="n">
        <v>45096</v>
      </c>
      <c r="C323" s="1" t="n">
        <v>45363</v>
      </c>
      <c r="D323" t="inlineStr">
        <is>
          <t>VÄSTRA GÖTALANDS LÄN</t>
        </is>
      </c>
      <c r="E323" t="inlineStr">
        <is>
          <t>SKARA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27265-2023</t>
        </is>
      </c>
      <c r="B324" s="1" t="n">
        <v>45096</v>
      </c>
      <c r="C324" s="1" t="n">
        <v>45363</v>
      </c>
      <c r="D324" t="inlineStr">
        <is>
          <t>VÄSTRA GÖTALANDS LÄN</t>
        </is>
      </c>
      <c r="E324" t="inlineStr">
        <is>
          <t>SKARA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27279-2023</t>
        </is>
      </c>
      <c r="B325" s="1" t="n">
        <v>45096</v>
      </c>
      <c r="C325" s="1" t="n">
        <v>45363</v>
      </c>
      <c r="D325" t="inlineStr">
        <is>
          <t>VÄSTRA GÖTALANDS LÄN</t>
        </is>
      </c>
      <c r="E325" t="inlineStr">
        <is>
          <t>SKARA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27457-2023</t>
        </is>
      </c>
      <c r="B326" s="1" t="n">
        <v>45097</v>
      </c>
      <c r="C326" s="1" t="n">
        <v>45363</v>
      </c>
      <c r="D326" t="inlineStr">
        <is>
          <t>VÄSTRA GÖTALANDS LÄN</t>
        </is>
      </c>
      <c r="E326" t="inlineStr">
        <is>
          <t>SKARA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27980-2023</t>
        </is>
      </c>
      <c r="B327" s="1" t="n">
        <v>45098</v>
      </c>
      <c r="C327" s="1" t="n">
        <v>45363</v>
      </c>
      <c r="D327" t="inlineStr">
        <is>
          <t>VÄSTRA GÖTALANDS LÄN</t>
        </is>
      </c>
      <c r="E327" t="inlineStr">
        <is>
          <t>SKARA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28084-2023</t>
        </is>
      </c>
      <c r="B328" s="1" t="n">
        <v>45099</v>
      </c>
      <c r="C328" s="1" t="n">
        <v>45363</v>
      </c>
      <c r="D328" t="inlineStr">
        <is>
          <t>VÄSTRA GÖTALANDS LÄN</t>
        </is>
      </c>
      <c r="E328" t="inlineStr">
        <is>
          <t>SKARA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28079-2023</t>
        </is>
      </c>
      <c r="B329" s="1" t="n">
        <v>45099</v>
      </c>
      <c r="C329" s="1" t="n">
        <v>45363</v>
      </c>
      <c r="D329" t="inlineStr">
        <is>
          <t>VÄSTRA GÖTALANDS LÄN</t>
        </is>
      </c>
      <c r="E329" t="inlineStr">
        <is>
          <t>SKARA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28104-2023</t>
        </is>
      </c>
      <c r="B330" s="1" t="n">
        <v>45099</v>
      </c>
      <c r="C330" s="1" t="n">
        <v>45363</v>
      </c>
      <c r="D330" t="inlineStr">
        <is>
          <t>VÄSTRA GÖTALANDS LÄN</t>
        </is>
      </c>
      <c r="E330" t="inlineStr">
        <is>
          <t>SKARA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28073-2023</t>
        </is>
      </c>
      <c r="B331" s="1" t="n">
        <v>45099</v>
      </c>
      <c r="C331" s="1" t="n">
        <v>45363</v>
      </c>
      <c r="D331" t="inlineStr">
        <is>
          <t>VÄSTRA GÖTALANDS LÄN</t>
        </is>
      </c>
      <c r="E331" t="inlineStr">
        <is>
          <t>SKARA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30019-2023</t>
        </is>
      </c>
      <c r="B332" s="1" t="n">
        <v>45109</v>
      </c>
      <c r="C332" s="1" t="n">
        <v>45363</v>
      </c>
      <c r="D332" t="inlineStr">
        <is>
          <t>VÄSTRA GÖTALANDS LÄN</t>
        </is>
      </c>
      <c r="E332" t="inlineStr">
        <is>
          <t>SKARA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30017-2023</t>
        </is>
      </c>
      <c r="B333" s="1" t="n">
        <v>45109</v>
      </c>
      <c r="C333" s="1" t="n">
        <v>45363</v>
      </c>
      <c r="D333" t="inlineStr">
        <is>
          <t>VÄSTRA GÖTALANDS LÄN</t>
        </is>
      </c>
      <c r="E333" t="inlineStr">
        <is>
          <t>SKARA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30050-2023</t>
        </is>
      </c>
      <c r="B334" s="1" t="n">
        <v>45110</v>
      </c>
      <c r="C334" s="1" t="n">
        <v>45363</v>
      </c>
      <c r="D334" t="inlineStr">
        <is>
          <t>VÄSTRA GÖTALANDS LÄN</t>
        </is>
      </c>
      <c r="E334" t="inlineStr">
        <is>
          <t>SKARA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30054-2023</t>
        </is>
      </c>
      <c r="B335" s="1" t="n">
        <v>45110</v>
      </c>
      <c r="C335" s="1" t="n">
        <v>45363</v>
      </c>
      <c r="D335" t="inlineStr">
        <is>
          <t>VÄSTRA GÖTALANDS LÄN</t>
        </is>
      </c>
      <c r="E335" t="inlineStr">
        <is>
          <t>SKARA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30066-2023</t>
        </is>
      </c>
      <c r="B336" s="1" t="n">
        <v>45110</v>
      </c>
      <c r="C336" s="1" t="n">
        <v>45363</v>
      </c>
      <c r="D336" t="inlineStr">
        <is>
          <t>VÄSTRA GÖTALANDS LÄN</t>
        </is>
      </c>
      <c r="E336" t="inlineStr">
        <is>
          <t>SKARA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30051-2023</t>
        </is>
      </c>
      <c r="B337" s="1" t="n">
        <v>45110</v>
      </c>
      <c r="C337" s="1" t="n">
        <v>45363</v>
      </c>
      <c r="D337" t="inlineStr">
        <is>
          <t>VÄSTRA GÖTALANDS LÄN</t>
        </is>
      </c>
      <c r="E337" t="inlineStr">
        <is>
          <t>SKARA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30079-2023</t>
        </is>
      </c>
      <c r="B338" s="1" t="n">
        <v>45110</v>
      </c>
      <c r="C338" s="1" t="n">
        <v>45363</v>
      </c>
      <c r="D338" t="inlineStr">
        <is>
          <t>VÄSTRA GÖTALANDS LÄN</t>
        </is>
      </c>
      <c r="E338" t="inlineStr">
        <is>
          <t>SKARA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30083-2023</t>
        </is>
      </c>
      <c r="B339" s="1" t="n">
        <v>45110</v>
      </c>
      <c r="C339" s="1" t="n">
        <v>45363</v>
      </c>
      <c r="D339" t="inlineStr">
        <is>
          <t>VÄSTRA GÖTALANDS LÄN</t>
        </is>
      </c>
      <c r="E339" t="inlineStr">
        <is>
          <t>SKARA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30069-2023</t>
        </is>
      </c>
      <c r="B340" s="1" t="n">
        <v>45110</v>
      </c>
      <c r="C340" s="1" t="n">
        <v>45363</v>
      </c>
      <c r="D340" t="inlineStr">
        <is>
          <t>VÄSTRA GÖTALANDS LÄN</t>
        </is>
      </c>
      <c r="E340" t="inlineStr">
        <is>
          <t>SKARA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30077-2023</t>
        </is>
      </c>
      <c r="B341" s="1" t="n">
        <v>45110</v>
      </c>
      <c r="C341" s="1" t="n">
        <v>45363</v>
      </c>
      <c r="D341" t="inlineStr">
        <is>
          <t>VÄSTRA GÖTALANDS LÄN</t>
        </is>
      </c>
      <c r="E341" t="inlineStr">
        <is>
          <t>SKARA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30085-2023</t>
        </is>
      </c>
      <c r="B342" s="1" t="n">
        <v>45110</v>
      </c>
      <c r="C342" s="1" t="n">
        <v>45363</v>
      </c>
      <c r="D342" t="inlineStr">
        <is>
          <t>VÄSTRA GÖTALANDS LÄN</t>
        </is>
      </c>
      <c r="E342" t="inlineStr">
        <is>
          <t>SKARA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30052-2023</t>
        </is>
      </c>
      <c r="B343" s="1" t="n">
        <v>45110</v>
      </c>
      <c r="C343" s="1" t="n">
        <v>45363</v>
      </c>
      <c r="D343" t="inlineStr">
        <is>
          <t>VÄSTRA GÖTALANDS LÄN</t>
        </is>
      </c>
      <c r="E343" t="inlineStr">
        <is>
          <t>SKARA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30080-2023</t>
        </is>
      </c>
      <c r="B344" s="1" t="n">
        <v>45110</v>
      </c>
      <c r="C344" s="1" t="n">
        <v>45363</v>
      </c>
      <c r="D344" t="inlineStr">
        <is>
          <t>VÄSTRA GÖTALANDS LÄN</t>
        </is>
      </c>
      <c r="E344" t="inlineStr">
        <is>
          <t>SKARA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30483-2023</t>
        </is>
      </c>
      <c r="B345" s="1" t="n">
        <v>45111</v>
      </c>
      <c r="C345" s="1" t="n">
        <v>45363</v>
      </c>
      <c r="D345" t="inlineStr">
        <is>
          <t>VÄSTRA GÖTALANDS LÄN</t>
        </is>
      </c>
      <c r="E345" t="inlineStr">
        <is>
          <t>SKARA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30487-2023</t>
        </is>
      </c>
      <c r="B346" s="1" t="n">
        <v>45111</v>
      </c>
      <c r="C346" s="1" t="n">
        <v>45363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30479-2023</t>
        </is>
      </c>
      <c r="B347" s="1" t="n">
        <v>45111</v>
      </c>
      <c r="C347" s="1" t="n">
        <v>45363</v>
      </c>
      <c r="D347" t="inlineStr">
        <is>
          <t>VÄSTRA GÖTALANDS LÄN</t>
        </is>
      </c>
      <c r="E347" t="inlineStr">
        <is>
          <t>SKARA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31128-2023</t>
        </is>
      </c>
      <c r="B348" s="1" t="n">
        <v>45113</v>
      </c>
      <c r="C348" s="1" t="n">
        <v>45363</v>
      </c>
      <c r="D348" t="inlineStr">
        <is>
          <t>VÄSTRA GÖTALANDS LÄN</t>
        </is>
      </c>
      <c r="E348" t="inlineStr">
        <is>
          <t>SKARA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31117-2023</t>
        </is>
      </c>
      <c r="B349" s="1" t="n">
        <v>45113</v>
      </c>
      <c r="C349" s="1" t="n">
        <v>45363</v>
      </c>
      <c r="D349" t="inlineStr">
        <is>
          <t>VÄSTRA GÖTALANDS LÄN</t>
        </is>
      </c>
      <c r="E349" t="inlineStr">
        <is>
          <t>SKARA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31895-2023</t>
        </is>
      </c>
      <c r="B350" s="1" t="n">
        <v>45118</v>
      </c>
      <c r="C350" s="1" t="n">
        <v>45363</v>
      </c>
      <c r="D350" t="inlineStr">
        <is>
          <t>VÄSTRA GÖTALANDS LÄN</t>
        </is>
      </c>
      <c r="E350" t="inlineStr">
        <is>
          <t>SKARA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31899-2023</t>
        </is>
      </c>
      <c r="B351" s="1" t="n">
        <v>45118</v>
      </c>
      <c r="C351" s="1" t="n">
        <v>45363</v>
      </c>
      <c r="D351" t="inlineStr">
        <is>
          <t>VÄSTRA GÖTALANDS LÄN</t>
        </is>
      </c>
      <c r="E351" t="inlineStr">
        <is>
          <t>SKARA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31893-2023</t>
        </is>
      </c>
      <c r="B352" s="1" t="n">
        <v>45118</v>
      </c>
      <c r="C352" s="1" t="n">
        <v>45363</v>
      </c>
      <c r="D352" t="inlineStr">
        <is>
          <t>VÄSTRA GÖTALANDS LÄN</t>
        </is>
      </c>
      <c r="E352" t="inlineStr">
        <is>
          <t>SKARA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31898-2023</t>
        </is>
      </c>
      <c r="B353" s="1" t="n">
        <v>45118</v>
      </c>
      <c r="C353" s="1" t="n">
        <v>45363</v>
      </c>
      <c r="D353" t="inlineStr">
        <is>
          <t>VÄSTRA GÖTALANDS LÄN</t>
        </is>
      </c>
      <c r="E353" t="inlineStr">
        <is>
          <t>SKARA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31896-2023</t>
        </is>
      </c>
      <c r="B354" s="1" t="n">
        <v>45118</v>
      </c>
      <c r="C354" s="1" t="n">
        <v>45363</v>
      </c>
      <c r="D354" t="inlineStr">
        <is>
          <t>VÄSTRA GÖTALANDS LÄN</t>
        </is>
      </c>
      <c r="E354" t="inlineStr">
        <is>
          <t>SKARA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34569-2023</t>
        </is>
      </c>
      <c r="B355" s="1" t="n">
        <v>45140</v>
      </c>
      <c r="C355" s="1" t="n">
        <v>45363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35217-2023</t>
        </is>
      </c>
      <c r="B356" s="1" t="n">
        <v>45145</v>
      </c>
      <c r="C356" s="1" t="n">
        <v>45363</v>
      </c>
      <c r="D356" t="inlineStr">
        <is>
          <t>VÄSTRA GÖTALANDS LÄN</t>
        </is>
      </c>
      <c r="E356" t="inlineStr">
        <is>
          <t>SKARA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35214-2023</t>
        </is>
      </c>
      <c r="B357" s="1" t="n">
        <v>45145</v>
      </c>
      <c r="C357" s="1" t="n">
        <v>45363</v>
      </c>
      <c r="D357" t="inlineStr">
        <is>
          <t>VÄSTRA GÖTALANDS LÄN</t>
        </is>
      </c>
      <c r="E357" t="inlineStr">
        <is>
          <t>SKARA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36045-2023</t>
        </is>
      </c>
      <c r="B358" s="1" t="n">
        <v>45149</v>
      </c>
      <c r="C358" s="1" t="n">
        <v>45363</v>
      </c>
      <c r="D358" t="inlineStr">
        <is>
          <t>VÄSTRA GÖTALANDS LÄN</t>
        </is>
      </c>
      <c r="E358" t="inlineStr">
        <is>
          <t>SKARA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36041-2023</t>
        </is>
      </c>
      <c r="B359" s="1" t="n">
        <v>45149</v>
      </c>
      <c r="C359" s="1" t="n">
        <v>45363</v>
      </c>
      <c r="D359" t="inlineStr">
        <is>
          <t>VÄSTRA GÖTALANDS LÄN</t>
        </is>
      </c>
      <c r="E359" t="inlineStr">
        <is>
          <t>SKARA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36470-2023</t>
        </is>
      </c>
      <c r="B360" s="1" t="n">
        <v>45152</v>
      </c>
      <c r="C360" s="1" t="n">
        <v>45363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37460-2023</t>
        </is>
      </c>
      <c r="B361" s="1" t="n">
        <v>45156</v>
      </c>
      <c r="C361" s="1" t="n">
        <v>45363</v>
      </c>
      <c r="D361" t="inlineStr">
        <is>
          <t>VÄSTRA GÖTALANDS LÄN</t>
        </is>
      </c>
      <c r="E361" t="inlineStr">
        <is>
          <t>SKARA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37458-2023</t>
        </is>
      </c>
      <c r="B362" s="1" t="n">
        <v>45156</v>
      </c>
      <c r="C362" s="1" t="n">
        <v>45363</v>
      </c>
      <c r="D362" t="inlineStr">
        <is>
          <t>VÄSTRA GÖTALANDS LÄN</t>
        </is>
      </c>
      <c r="E362" t="inlineStr">
        <is>
          <t>SKARA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37527-2023</t>
        </is>
      </c>
      <c r="B363" s="1" t="n">
        <v>45158</v>
      </c>
      <c r="C363" s="1" t="n">
        <v>45363</v>
      </c>
      <c r="D363" t="inlineStr">
        <is>
          <t>VÄSTRA GÖTALANDS LÄN</t>
        </is>
      </c>
      <c r="E363" t="inlineStr">
        <is>
          <t>SKARA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38225-2023</t>
        </is>
      </c>
      <c r="B364" s="1" t="n">
        <v>45161</v>
      </c>
      <c r="C364" s="1" t="n">
        <v>45363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40199-2023</t>
        </is>
      </c>
      <c r="B365" s="1" t="n">
        <v>45169</v>
      </c>
      <c r="C365" s="1" t="n">
        <v>45363</v>
      </c>
      <c r="D365" t="inlineStr">
        <is>
          <t>VÄSTRA GÖTALANDS LÄN</t>
        </is>
      </c>
      <c r="E365" t="inlineStr">
        <is>
          <t>SKARA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40372-2023</t>
        </is>
      </c>
      <c r="B366" s="1" t="n">
        <v>45169</v>
      </c>
      <c r="C366" s="1" t="n">
        <v>45363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40666-2023</t>
        </is>
      </c>
      <c r="B367" s="1" t="n">
        <v>45170</v>
      </c>
      <c r="C367" s="1" t="n">
        <v>45363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41602-2023</t>
        </is>
      </c>
      <c r="B368" s="1" t="n">
        <v>45175</v>
      </c>
      <c r="C368" s="1" t="n">
        <v>45363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Kommuner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42301-2023</t>
        </is>
      </c>
      <c r="B369" s="1" t="n">
        <v>45180</v>
      </c>
      <c r="C369" s="1" t="n">
        <v>45363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43769-2023</t>
        </is>
      </c>
      <c r="B370" s="1" t="n">
        <v>45187</v>
      </c>
      <c r="C370" s="1" t="n">
        <v>45363</v>
      </c>
      <c r="D370" t="inlineStr">
        <is>
          <t>VÄSTRA GÖTALANDS LÄN</t>
        </is>
      </c>
      <c r="E370" t="inlineStr">
        <is>
          <t>SKARA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46185-2023</t>
        </is>
      </c>
      <c r="B371" s="1" t="n">
        <v>45196</v>
      </c>
      <c r="C371" s="1" t="n">
        <v>45363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46190-2023</t>
        </is>
      </c>
      <c r="B372" s="1" t="n">
        <v>45196</v>
      </c>
      <c r="C372" s="1" t="n">
        <v>45363</v>
      </c>
      <c r="D372" t="inlineStr">
        <is>
          <t>VÄSTRA GÖTALANDS LÄN</t>
        </is>
      </c>
      <c r="E372" t="inlineStr">
        <is>
          <t>SKARA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46197-2023</t>
        </is>
      </c>
      <c r="B373" s="1" t="n">
        <v>45196</v>
      </c>
      <c r="C373" s="1" t="n">
        <v>45363</v>
      </c>
      <c r="D373" t="inlineStr">
        <is>
          <t>VÄSTRA GÖTALANDS LÄN</t>
        </is>
      </c>
      <c r="E373" t="inlineStr">
        <is>
          <t>SKARA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46194-2023</t>
        </is>
      </c>
      <c r="B374" s="1" t="n">
        <v>45196</v>
      </c>
      <c r="C374" s="1" t="n">
        <v>45363</v>
      </c>
      <c r="D374" t="inlineStr">
        <is>
          <t>VÄSTRA GÖTALANDS LÄN</t>
        </is>
      </c>
      <c r="E374" t="inlineStr">
        <is>
          <t>SKARA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46184-2023</t>
        </is>
      </c>
      <c r="B375" s="1" t="n">
        <v>45196</v>
      </c>
      <c r="C375" s="1" t="n">
        <v>45363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49399-2023</t>
        </is>
      </c>
      <c r="B376" s="1" t="n">
        <v>45211</v>
      </c>
      <c r="C376" s="1" t="n">
        <v>45363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50043-2023</t>
        </is>
      </c>
      <c r="B377" s="1" t="n">
        <v>45215</v>
      </c>
      <c r="C377" s="1" t="n">
        <v>45363</v>
      </c>
      <c r="D377" t="inlineStr">
        <is>
          <t>VÄSTRA GÖTALANDS LÄN</t>
        </is>
      </c>
      <c r="E377" t="inlineStr">
        <is>
          <t>SKARA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50065-2023</t>
        </is>
      </c>
      <c r="B378" s="1" t="n">
        <v>45215</v>
      </c>
      <c r="C378" s="1" t="n">
        <v>45363</v>
      </c>
      <c r="D378" t="inlineStr">
        <is>
          <t>VÄSTRA GÖTALANDS LÄN</t>
        </is>
      </c>
      <c r="E378" t="inlineStr">
        <is>
          <t>SKARA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52041-2023</t>
        </is>
      </c>
      <c r="B379" s="1" t="n">
        <v>45223</v>
      </c>
      <c r="C379" s="1" t="n">
        <v>45363</v>
      </c>
      <c r="D379" t="inlineStr">
        <is>
          <t>VÄSTRA GÖTALANDS LÄN</t>
        </is>
      </c>
      <c r="E379" t="inlineStr">
        <is>
          <t>SKARA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52381-2023</t>
        </is>
      </c>
      <c r="B380" s="1" t="n">
        <v>45224</v>
      </c>
      <c r="C380" s="1" t="n">
        <v>45363</v>
      </c>
      <c r="D380" t="inlineStr">
        <is>
          <t>VÄSTRA GÖTALANDS LÄN</t>
        </is>
      </c>
      <c r="E380" t="inlineStr">
        <is>
          <t>SKARA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52383-2023</t>
        </is>
      </c>
      <c r="B381" s="1" t="n">
        <v>45224</v>
      </c>
      <c r="C381" s="1" t="n">
        <v>45363</v>
      </c>
      <c r="D381" t="inlineStr">
        <is>
          <t>VÄSTRA GÖTALANDS LÄN</t>
        </is>
      </c>
      <c r="E381" t="inlineStr">
        <is>
          <t>SKARA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45363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45363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58965-2023</t>
        </is>
      </c>
      <c r="B384" s="1" t="n">
        <v>45252</v>
      </c>
      <c r="C384" s="1" t="n">
        <v>45363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45363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45363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45363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60124-2023</t>
        </is>
      </c>
      <c r="B388" s="1" t="n">
        <v>45258</v>
      </c>
      <c r="C388" s="1" t="n">
        <v>45363</v>
      </c>
      <c r="D388" t="inlineStr">
        <is>
          <t>VÄSTRA GÖTALANDS LÄN</t>
        </is>
      </c>
      <c r="E388" t="inlineStr">
        <is>
          <t>SKARA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62890-2023</t>
        </is>
      </c>
      <c r="B389" s="1" t="n">
        <v>45272</v>
      </c>
      <c r="C389" s="1" t="n">
        <v>45363</v>
      </c>
      <c r="D389" t="inlineStr">
        <is>
          <t>VÄSTRA GÖTALANDS LÄN</t>
        </is>
      </c>
      <c r="E389" t="inlineStr">
        <is>
          <t>SKARA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45363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45363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64550-2023</t>
        </is>
      </c>
      <c r="B392" s="1" t="n">
        <v>45281</v>
      </c>
      <c r="C392" s="1" t="n">
        <v>45363</v>
      </c>
      <c r="D392" t="inlineStr">
        <is>
          <t>VÄSTRA GÖTALANDS LÄN</t>
        </is>
      </c>
      <c r="E392" t="inlineStr">
        <is>
          <t>SKARA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65124-2023</t>
        </is>
      </c>
      <c r="B393" s="1" t="n">
        <v>45288</v>
      </c>
      <c r="C393" s="1" t="n">
        <v>45363</v>
      </c>
      <c r="D393" t="inlineStr">
        <is>
          <t>VÄSTRA GÖTALANDS LÄN</t>
        </is>
      </c>
      <c r="E393" t="inlineStr">
        <is>
          <t>SKARA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65102-2023</t>
        </is>
      </c>
      <c r="B394" s="1" t="n">
        <v>45288</v>
      </c>
      <c r="C394" s="1" t="n">
        <v>45363</v>
      </c>
      <c r="D394" t="inlineStr">
        <is>
          <t>VÄSTRA GÖTALANDS LÄN</t>
        </is>
      </c>
      <c r="E394" t="inlineStr">
        <is>
          <t>SKARA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65095-2023</t>
        </is>
      </c>
      <c r="B395" s="1" t="n">
        <v>45288</v>
      </c>
      <c r="C395" s="1" t="n">
        <v>45363</v>
      </c>
      <c r="D395" t="inlineStr">
        <is>
          <t>VÄSTRA GÖTALANDS LÄN</t>
        </is>
      </c>
      <c r="E395" t="inlineStr">
        <is>
          <t>SKARA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516-2024</t>
        </is>
      </c>
      <c r="B396" s="1" t="n">
        <v>45299</v>
      </c>
      <c r="C396" s="1" t="n">
        <v>45363</v>
      </c>
      <c r="D396" t="inlineStr">
        <is>
          <t>VÄSTRA GÖTALANDS LÄN</t>
        </is>
      </c>
      <c r="E396" t="inlineStr">
        <is>
          <t>SKARA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515-2024</t>
        </is>
      </c>
      <c r="B397" s="1" t="n">
        <v>45299</v>
      </c>
      <c r="C397" s="1" t="n">
        <v>45363</v>
      </c>
      <c r="D397" t="inlineStr">
        <is>
          <t>VÄSTRA GÖTALANDS LÄN</t>
        </is>
      </c>
      <c r="E397" t="inlineStr">
        <is>
          <t>SKARA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1945-2024</t>
        </is>
      </c>
      <c r="B398" s="1" t="n">
        <v>45308</v>
      </c>
      <c r="C398" s="1" t="n">
        <v>45363</v>
      </c>
      <c r="D398" t="inlineStr">
        <is>
          <t>VÄSTRA GÖTALANDS LÄN</t>
        </is>
      </c>
      <c r="E398" t="inlineStr">
        <is>
          <t>SKARA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2110-2024</t>
        </is>
      </c>
      <c r="B399" s="1" t="n">
        <v>45309</v>
      </c>
      <c r="C399" s="1" t="n">
        <v>45363</v>
      </c>
      <c r="D399" t="inlineStr">
        <is>
          <t>VÄSTRA GÖTALANDS LÄN</t>
        </is>
      </c>
      <c r="E399" t="inlineStr">
        <is>
          <t>SKARA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2472-2024</t>
        </is>
      </c>
      <c r="B400" s="1" t="n">
        <v>45313</v>
      </c>
      <c r="C400" s="1" t="n">
        <v>45363</v>
      </c>
      <c r="D400" t="inlineStr">
        <is>
          <t>VÄSTRA GÖTALANDS LÄN</t>
        </is>
      </c>
      <c r="E400" t="inlineStr">
        <is>
          <t>SKARA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2475-2024</t>
        </is>
      </c>
      <c r="B401" s="1" t="n">
        <v>45313</v>
      </c>
      <c r="C401" s="1" t="n">
        <v>45363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2473-2024</t>
        </is>
      </c>
      <c r="B402" s="1" t="n">
        <v>45313</v>
      </c>
      <c r="C402" s="1" t="n">
        <v>45363</v>
      </c>
      <c r="D402" t="inlineStr">
        <is>
          <t>VÄSTRA GÖTALANDS LÄN</t>
        </is>
      </c>
      <c r="E402" t="inlineStr">
        <is>
          <t>SKARA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2590-2024</t>
        </is>
      </c>
      <c r="B403" s="1" t="n">
        <v>45313</v>
      </c>
      <c r="C403" s="1" t="n">
        <v>45363</v>
      </c>
      <c r="D403" t="inlineStr">
        <is>
          <t>VÄSTRA GÖTALANDS LÄN</t>
        </is>
      </c>
      <c r="E403" t="inlineStr">
        <is>
          <t>SKARA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2701-2024</t>
        </is>
      </c>
      <c r="B404" s="1" t="n">
        <v>45314</v>
      </c>
      <c r="C404" s="1" t="n">
        <v>45363</v>
      </c>
      <c r="D404" t="inlineStr">
        <is>
          <t>VÄSTRA GÖTALANDS LÄN</t>
        </is>
      </c>
      <c r="E404" t="inlineStr">
        <is>
          <t>SKARA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2724-2024</t>
        </is>
      </c>
      <c r="B405" s="1" t="n">
        <v>45314</v>
      </c>
      <c r="C405" s="1" t="n">
        <v>45363</v>
      </c>
      <c r="D405" t="inlineStr">
        <is>
          <t>VÄSTRA GÖTALANDS LÄN</t>
        </is>
      </c>
      <c r="E405" t="inlineStr">
        <is>
          <t>SKARA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5825-2024</t>
        </is>
      </c>
      <c r="B406" s="1" t="n">
        <v>45335</v>
      </c>
      <c r="C406" s="1" t="n">
        <v>45363</v>
      </c>
      <c r="D406" t="inlineStr">
        <is>
          <t>VÄSTRA GÖTALANDS LÄN</t>
        </is>
      </c>
      <c r="E406" t="inlineStr">
        <is>
          <t>SKARA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5816-2024</t>
        </is>
      </c>
      <c r="B407" s="1" t="n">
        <v>45335</v>
      </c>
      <c r="C407" s="1" t="n">
        <v>45363</v>
      </c>
      <c r="D407" t="inlineStr">
        <is>
          <t>VÄSTRA GÖTALANDS LÄN</t>
        </is>
      </c>
      <c r="E407" t="inlineStr">
        <is>
          <t>SKARA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6309-2024</t>
        </is>
      </c>
      <c r="B408" s="1" t="n">
        <v>45338</v>
      </c>
      <c r="C408" s="1" t="n">
        <v>45363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7335-2024</t>
        </is>
      </c>
      <c r="B409" s="1" t="n">
        <v>45345</v>
      </c>
      <c r="C409" s="1" t="n">
        <v>45363</v>
      </c>
      <c r="D409" t="inlineStr">
        <is>
          <t>VÄSTRA GÖTALANDS LÄN</t>
        </is>
      </c>
      <c r="E409" t="inlineStr">
        <is>
          <t>SKARA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8266-2024</t>
        </is>
      </c>
      <c r="B410" s="1" t="n">
        <v>45352</v>
      </c>
      <c r="C410" s="1" t="n">
        <v>45363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8264-2024</t>
        </is>
      </c>
      <c r="B411" s="1" t="n">
        <v>45352</v>
      </c>
      <c r="C411" s="1" t="n">
        <v>45363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8781-2024</t>
        </is>
      </c>
      <c r="B412" s="1" t="n">
        <v>45356</v>
      </c>
      <c r="C412" s="1" t="n">
        <v>45363</v>
      </c>
      <c r="D412" t="inlineStr">
        <is>
          <t>VÄSTRA GÖTALANDS LÄN</t>
        </is>
      </c>
      <c r="E412" t="inlineStr">
        <is>
          <t>SKARA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8931-2024</t>
        </is>
      </c>
      <c r="B413" s="1" t="n">
        <v>45357</v>
      </c>
      <c r="C413" s="1" t="n">
        <v>45363</v>
      </c>
      <c r="D413" t="inlineStr">
        <is>
          <t>VÄSTRA GÖTALANDS LÄN</t>
        </is>
      </c>
      <c r="E413" t="inlineStr">
        <is>
          <t>SKARA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9189-2024</t>
        </is>
      </c>
      <c r="B414" s="1" t="n">
        <v>45358</v>
      </c>
      <c r="C414" s="1" t="n">
        <v>45363</v>
      </c>
      <c r="D414" t="inlineStr">
        <is>
          <t>VÄSTRA GÖTALANDS LÄN</t>
        </is>
      </c>
      <c r="E414" t="inlineStr">
        <is>
          <t>SKARA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2024-03-12T14:00:10Z</dcterms:created>
  <dcterms:modified xmlns:dcterms="http://purl.org/dc/terms/" xmlns:xsi="http://www.w3.org/2001/XMLSchema-instance" xsi:type="dcterms:W3CDTF">2024-03-12T14:00:10Z</dcterms:modified>
</cp:coreProperties>
</file>