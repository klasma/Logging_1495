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46313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46313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46313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46313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46313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46313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46313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46313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46313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23455-2026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46313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HYPERLINK("https://klasma.github.io/Logging_1495/artfynd/A 23455-2026 artfynd.xlsx", "A 23455-2026")</f>
        <v/>
      </c>
      <c r="X13">
        <f>HYPERLINK("https://klasma.github.io/Logging_1495/kartor/A 23455-2026 karta.png", "A 23455-2026")</f>
        <v/>
      </c>
      <c r="Y13">
        <f>HYPERLINK("https://klasma.github.io/Logging_1495/kartor_geotiff/A 23455-2026 georefererad karta.tif", "A 23455-2026")</f>
        <v/>
      </c>
      <c r="AA13">
        <f>HYPERLINK("https://klasma.github.io/Logging_1495/klagomål/A 23455-2026 FSC-klagomål.docx", "A 23455-2026")</f>
        <v/>
      </c>
      <c r="AB13">
        <f>HYPERLINK("https://klasma.github.io/Logging_1495/klagomålsmail/A 23455-2026 FSC-klagomål mail.docx", "A 23455-2026")</f>
        <v/>
      </c>
      <c r="AC13">
        <f>HYPERLINK("https://klasma.github.io/Logging_1495/tillsyn/A 23455-2026 tillsynsbegäran.docx", "A 23455-2026")</f>
        <v/>
      </c>
      <c r="AD13">
        <f>HYPERLINK("https://klasma.github.io/Logging_1495/tillsynsmail/A 23455-2026 tillsynsbegäran mail.docx", "A 23455-2026")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46313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46313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46313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46313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46313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46313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46313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46313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46313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46313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46313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46313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46313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46313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46313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46313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46313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46313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46313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46313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46313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46313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46313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46313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46313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46313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46313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46313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45309</v>
      </c>
      <c r="E50" s="1" t="n">
        <v>46313</v>
      </c>
      <c r="F50" t="inlineStr">
        <is>
          <t>VÄSTRA GÖTALANDS LÄN</t>
        </is>
      </c>
      <c r="G50" t="inlineStr">
        <is>
          <t>SKARA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46313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45462</v>
      </c>
      <c r="E52" s="1" t="n">
        <v>46313</v>
      </c>
      <c r="F52" t="inlineStr">
        <is>
          <t>VÄSTRA GÖTALANDS LÄN</t>
        </is>
      </c>
      <c r="G52" t="inlineStr">
        <is>
          <t>SKARA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46313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46313</v>
      </c>
      <c r="F54" t="inlineStr">
        <is>
          <t>VÄSTRA GÖTALANDS LÄN</t>
        </is>
      </c>
      <c r="G54" t="inlineStr">
        <is>
          <t>SKARA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46313</v>
      </c>
      <c r="F55" t="inlineStr">
        <is>
          <t>VÄSTRA GÖTALANDS LÄN</t>
        </is>
      </c>
      <c r="G55" t="inlineStr">
        <is>
          <t>SKARA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46313</v>
      </c>
      <c r="F56" t="inlineStr">
        <is>
          <t>VÄSTRA GÖTALANDS LÄN</t>
        </is>
      </c>
      <c r="G56" t="inlineStr">
        <is>
          <t>SKARA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46313</v>
      </c>
      <c r="F57" t="inlineStr">
        <is>
          <t>VÄSTRA GÖTALANDS LÄN</t>
        </is>
      </c>
      <c r="G57" t="inlineStr">
        <is>
          <t>SKARA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46313</v>
      </c>
      <c r="F58" t="inlineStr">
        <is>
          <t>VÄSTRA GÖTALANDS LÄN</t>
        </is>
      </c>
      <c r="G58" t="inlineStr">
        <is>
          <t>SKARA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46313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46313</v>
      </c>
      <c r="F60" t="inlineStr">
        <is>
          <t>VÄSTRA GÖTALANDS LÄN</t>
        </is>
      </c>
      <c r="G60" t="inlineStr">
        <is>
          <t>SKARA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46313</v>
      </c>
      <c r="F61" t="inlineStr">
        <is>
          <t>VÄSTRA GÖTALANDS LÄN</t>
        </is>
      </c>
      <c r="G61" t="inlineStr">
        <is>
          <t>SKARA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46313</v>
      </c>
      <c r="F62" t="inlineStr">
        <is>
          <t>VÄSTRA GÖTALANDS LÄN</t>
        </is>
      </c>
      <c r="G62" t="inlineStr">
        <is>
          <t>SKARA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46313</v>
      </c>
      <c r="F63" t="inlineStr">
        <is>
          <t>VÄSTRA GÖTALANDS LÄN</t>
        </is>
      </c>
      <c r="G63" t="inlineStr">
        <is>
          <t>SKARA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46313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46313</v>
      </c>
      <c r="F65" t="inlineStr">
        <is>
          <t>VÄSTRA GÖTALANDS LÄN</t>
        </is>
      </c>
      <c r="G65" t="inlineStr">
        <is>
          <t>SKARA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45299</v>
      </c>
      <c r="E66" s="1" t="n">
        <v>46313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46313</v>
      </c>
      <c r="F67" t="inlineStr">
        <is>
          <t>VÄSTRA GÖTALANDS LÄN</t>
        </is>
      </c>
      <c r="G67" t="inlineStr">
        <is>
          <t>SKARA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46313</v>
      </c>
      <c r="F68" t="inlineStr">
        <is>
          <t>VÄSTRA GÖTALANDS LÄN</t>
        </is>
      </c>
      <c r="G68" t="inlineStr">
        <is>
          <t>SKARA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46313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46313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46313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45874</v>
      </c>
      <c r="E72" s="1" t="n">
        <v>46313</v>
      </c>
      <c r="F72" t="inlineStr">
        <is>
          <t>VÄSTRA GÖTALANDS LÄN</t>
        </is>
      </c>
      <c r="G72" t="inlineStr">
        <is>
          <t>SKARA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46313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46313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46313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44856</v>
      </c>
      <c r="E76" s="1" t="n">
        <v>46313</v>
      </c>
      <c r="F76" t="inlineStr">
        <is>
          <t>VÄSTRA GÖTALANDS LÄN</t>
        </is>
      </c>
      <c r="G76" t="inlineStr">
        <is>
          <t>SKARA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46313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46313</v>
      </c>
      <c r="F78" t="inlineStr">
        <is>
          <t>VÄSTRA GÖTALANDS LÄN</t>
        </is>
      </c>
      <c r="G78" t="inlineStr">
        <is>
          <t>SKARA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46313</v>
      </c>
      <c r="F79" t="inlineStr">
        <is>
          <t>VÄSTRA GÖTALANDS LÄN</t>
        </is>
      </c>
      <c r="G79" t="inlineStr">
        <is>
          <t>SKARA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46313</v>
      </c>
      <c r="F80" t="inlineStr">
        <is>
          <t>VÄSTRA GÖTALANDS LÄN</t>
        </is>
      </c>
      <c r="G80" t="inlineStr">
        <is>
          <t>SKARA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46313</v>
      </c>
      <c r="F81" t="inlineStr">
        <is>
          <t>VÄSTRA GÖTALANDS LÄN</t>
        </is>
      </c>
      <c r="G81" t="inlineStr">
        <is>
          <t>SKARA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46313</v>
      </c>
      <c r="F82" t="inlineStr">
        <is>
          <t>VÄSTRA GÖTALANDS LÄN</t>
        </is>
      </c>
      <c r="G82" t="inlineStr">
        <is>
          <t>SKARA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46313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46313</v>
      </c>
      <c r="F84" t="inlineStr">
        <is>
          <t>VÄSTRA GÖTALANDS LÄN</t>
        </is>
      </c>
      <c r="G84" t="inlineStr">
        <is>
          <t>SKARA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46313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46313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46313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46313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46313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45492</v>
      </c>
      <c r="E90" s="1" t="n">
        <v>46313</v>
      </c>
      <c r="F90" t="inlineStr">
        <is>
          <t>VÄSTRA GÖTALANDS LÄN</t>
        </is>
      </c>
      <c r="G90" t="inlineStr">
        <is>
          <t>SKARA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46313</v>
      </c>
      <c r="F91" t="inlineStr">
        <is>
          <t>VÄSTRA GÖTALANDS LÄN</t>
        </is>
      </c>
      <c r="G91" t="inlineStr">
        <is>
          <t>SKARA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46313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44990</v>
      </c>
      <c r="E93" s="1" t="n">
        <v>46313</v>
      </c>
      <c r="F93" t="inlineStr">
        <is>
          <t>VÄSTRA GÖTALANDS LÄN</t>
        </is>
      </c>
      <c r="G93" t="inlineStr">
        <is>
          <t>SKARA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46313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45621</v>
      </c>
      <c r="E95" s="1" t="n">
        <v>46313</v>
      </c>
      <c r="F95" t="inlineStr">
        <is>
          <t>VÄSTRA GÖTALANDS LÄN</t>
        </is>
      </c>
      <c r="G95" t="inlineStr">
        <is>
          <t>SKARA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46313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46313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46313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46313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46313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46313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46313</v>
      </c>
      <c r="F102" t="inlineStr">
        <is>
          <t>VÄSTRA GÖTALANDS LÄN</t>
        </is>
      </c>
      <c r="G102" t="inlineStr">
        <is>
          <t>SKARA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46313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46313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46313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46313</v>
      </c>
      <c r="F106" t="inlineStr">
        <is>
          <t>VÄSTRA GÖTALANDS LÄN</t>
        </is>
      </c>
      <c r="G106" t="inlineStr">
        <is>
          <t>SKARA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46313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46163</v>
      </c>
      <c r="E108" s="1" t="n">
        <v>46313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46313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46313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46313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46313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44701</v>
      </c>
      <c r="E113" s="1" t="n">
        <v>46313</v>
      </c>
      <c r="F113" t="inlineStr">
        <is>
          <t>VÄSTRA GÖTALANDS LÄN</t>
        </is>
      </c>
      <c r="G113" t="inlineStr">
        <is>
          <t>SKARA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46313</v>
      </c>
      <c r="F114" t="inlineStr">
        <is>
          <t>VÄSTRA GÖTALANDS LÄN</t>
        </is>
      </c>
      <c r="G114" t="inlineStr">
        <is>
          <t>SKARA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46313</v>
      </c>
      <c r="F115" t="inlineStr">
        <is>
          <t>VÄSTRA GÖTALANDS LÄN</t>
        </is>
      </c>
      <c r="G115" t="inlineStr">
        <is>
          <t>SKARA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46313</v>
      </c>
      <c r="F116" t="inlineStr">
        <is>
          <t>VÄSTRA GÖTALANDS LÄN</t>
        </is>
      </c>
      <c r="G116" t="inlineStr">
        <is>
          <t>SKARA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46313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46313</v>
      </c>
      <c r="F118" t="inlineStr">
        <is>
          <t>VÄSTRA GÖTALANDS LÄN</t>
        </is>
      </c>
      <c r="G118" t="inlineStr">
        <is>
          <t>SKARA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46313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46313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46313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46313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45149</v>
      </c>
      <c r="E123" s="1" t="n">
        <v>46313</v>
      </c>
      <c r="F123" t="inlineStr">
        <is>
          <t>VÄSTRA GÖTALANDS LÄN</t>
        </is>
      </c>
      <c r="G123" t="inlineStr">
        <is>
          <t>SKARA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45149</v>
      </c>
      <c r="E124" s="1" t="n">
        <v>46313</v>
      </c>
      <c r="F124" t="inlineStr">
        <is>
          <t>VÄSTRA GÖTALANDS LÄN</t>
        </is>
      </c>
      <c r="G124" t="inlineStr">
        <is>
          <t>SKARA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46182</v>
      </c>
      <c r="E125" s="1" t="n">
        <v>46313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46313</v>
      </c>
      <c r="F126" t="inlineStr">
        <is>
          <t>VÄSTRA GÖTALANDS LÄN</t>
        </is>
      </c>
      <c r="G126" t="inlineStr">
        <is>
          <t>SKARA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46313</v>
      </c>
      <c r="F127" t="inlineStr">
        <is>
          <t>VÄSTRA GÖTALANDS LÄN</t>
        </is>
      </c>
      <c r="G127" t="inlineStr">
        <is>
          <t>SKARA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46313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46313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46313</v>
      </c>
      <c r="F130" t="inlineStr">
        <is>
          <t>VÄSTRA GÖTALANDS LÄN</t>
        </is>
      </c>
      <c r="G130" t="inlineStr">
        <is>
          <t>SKARA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46313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46313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42874-2022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44832</v>
      </c>
      <c r="E133" s="1" t="n">
        <v>46313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46189</v>
      </c>
      <c r="E134" s="1" t="n">
        <v>46313</v>
      </c>
      <c r="F134" t="inlineStr">
        <is>
          <t>VÄSTRA GÖTALANDS LÄN</t>
        </is>
      </c>
      <c r="G134" t="inlineStr">
        <is>
          <t>SKARA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46313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46313</v>
      </c>
      <c r="F136" t="inlineStr">
        <is>
          <t>VÄSTRA GÖTALANDS LÄN</t>
        </is>
      </c>
      <c r="G136" t="inlineStr">
        <is>
          <t>SKARA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46313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12332-2026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46087</v>
      </c>
      <c r="E138" s="1" t="n">
        <v>46313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46313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46313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46313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46313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45043</v>
      </c>
      <c r="E143" s="1" t="n">
        <v>46313</v>
      </c>
      <c r="F143" t="inlineStr">
        <is>
          <t>VÄSTRA GÖTALANDS LÄN</t>
        </is>
      </c>
      <c r="G143" t="inlineStr">
        <is>
          <t>SKARA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46313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46313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46313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46313</v>
      </c>
      <c r="F147" t="inlineStr">
        <is>
          <t>VÄSTRA GÖTALANDS LÄN</t>
        </is>
      </c>
      <c r="G147" t="inlineStr">
        <is>
          <t>SKARA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46313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46313</v>
      </c>
      <c r="F149" t="inlineStr">
        <is>
          <t>VÄSTRA GÖTALANDS LÄN</t>
        </is>
      </c>
      <c r="G149" t="inlineStr">
        <is>
          <t>SKARA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46313</v>
      </c>
      <c r="F150" t="inlineStr">
        <is>
          <t>VÄSTRA GÖTALANDS LÄN</t>
        </is>
      </c>
      <c r="G150" t="inlineStr">
        <is>
          <t>SKARA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46313</v>
      </c>
      <c r="F151" t="inlineStr">
        <is>
          <t>VÄSTRA GÖTALANDS LÄN</t>
        </is>
      </c>
      <c r="G151" t="inlineStr">
        <is>
          <t>SKARA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46313</v>
      </c>
      <c r="F152" t="inlineStr">
        <is>
          <t>VÄSTRA GÖTALANDS LÄN</t>
        </is>
      </c>
      <c r="G152" t="inlineStr">
        <is>
          <t>SKARA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46313</v>
      </c>
      <c r="F153" t="inlineStr">
        <is>
          <t>VÄSTRA GÖTALANDS LÄN</t>
        </is>
      </c>
      <c r="G153" t="inlineStr">
        <is>
          <t>SKARA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46313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44957</v>
      </c>
      <c r="E155" s="1" t="n">
        <v>46313</v>
      </c>
      <c r="F155" t="inlineStr">
        <is>
          <t>VÄSTRA GÖTALANDS LÄN</t>
        </is>
      </c>
      <c r="G155" t="inlineStr">
        <is>
          <t>SKARA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45022</v>
      </c>
      <c r="E156" s="1" t="n">
        <v>46313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46313</v>
      </c>
      <c r="F157" t="inlineStr">
        <is>
          <t>VÄSTRA GÖTALANDS LÄN</t>
        </is>
      </c>
      <c r="G157" t="inlineStr">
        <is>
          <t>SKARA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46313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46313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44496</v>
      </c>
      <c r="E160" s="1" t="n">
        <v>46313</v>
      </c>
      <c r="F160" t="inlineStr">
        <is>
          <t>VÄSTRA GÖTALANDS LÄN</t>
        </is>
      </c>
      <c r="G160" t="inlineStr">
        <is>
          <t>SKARA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46313</v>
      </c>
      <c r="F161" t="inlineStr">
        <is>
          <t>VÄSTRA GÖTALANDS LÄN</t>
        </is>
      </c>
      <c r="G161" t="inlineStr">
        <is>
          <t>SKARA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46313</v>
      </c>
      <c r="F162" t="inlineStr">
        <is>
          <t>VÄSTRA GÖTALANDS LÄN</t>
        </is>
      </c>
      <c r="G162" t="inlineStr">
        <is>
          <t>SKARA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46313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46313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46313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46313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46313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46313</v>
      </c>
      <c r="F168" t="inlineStr">
        <is>
          <t>VÄSTRA GÖTALANDS LÄN</t>
        </is>
      </c>
      <c r="G168" t="inlineStr">
        <is>
          <t>SKARA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46313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46313</v>
      </c>
      <c r="F170" t="inlineStr">
        <is>
          <t>VÄSTRA GÖTALANDS LÄN</t>
        </is>
      </c>
      <c r="G170" t="inlineStr">
        <is>
          <t>SKARA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46313</v>
      </c>
      <c r="F171" t="inlineStr">
        <is>
          <t>VÄSTRA GÖTALANDS LÄN</t>
        </is>
      </c>
      <c r="G171" t="inlineStr">
        <is>
          <t>SKARA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46313</v>
      </c>
      <c r="F172" t="inlineStr">
        <is>
          <t>VÄSTRA GÖTALANDS LÄN</t>
        </is>
      </c>
      <c r="G172" t="inlineStr">
        <is>
          <t>SKARA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45621</v>
      </c>
      <c r="E173" s="1" t="n">
        <v>46313</v>
      </c>
      <c r="F173" t="inlineStr">
        <is>
          <t>VÄSTRA GÖTALANDS LÄN</t>
        </is>
      </c>
      <c r="G173" t="inlineStr">
        <is>
          <t>SKARA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46313</v>
      </c>
      <c r="F174" t="inlineStr">
        <is>
          <t>VÄSTRA GÖTALANDS LÄN</t>
        </is>
      </c>
      <c r="G174" t="inlineStr">
        <is>
          <t>SKARA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46313</v>
      </c>
      <c r="F175" t="inlineStr">
        <is>
          <t>VÄSTRA GÖTALANDS LÄN</t>
        </is>
      </c>
      <c r="G175" t="inlineStr">
        <is>
          <t>SKARA</t>
        </is>
      </c>
      <c r="I175" t="n">
        <v>21.6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46313</v>
      </c>
      <c r="F176" t="inlineStr">
        <is>
          <t>VÄSTRA GÖTALANDS LÄN</t>
        </is>
      </c>
      <c r="G176" t="inlineStr">
        <is>
          <t>SKARA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46313</v>
      </c>
      <c r="F177" t="inlineStr">
        <is>
          <t>VÄSTRA GÖTALANDS LÄN</t>
        </is>
      </c>
      <c r="G177" t="inlineStr">
        <is>
          <t>SKARA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46313</v>
      </c>
      <c r="F178" t="inlineStr">
        <is>
          <t>VÄSTRA GÖTALANDS LÄN</t>
        </is>
      </c>
      <c r="G178" t="inlineStr">
        <is>
          <t>SKARA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46313</v>
      </c>
      <c r="F179" t="inlineStr">
        <is>
          <t>VÄSTRA GÖTALANDS LÄN</t>
        </is>
      </c>
      <c r="G179" t="inlineStr">
        <is>
          <t>SKARA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46313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46313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46313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Kyrkan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46313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45175</v>
      </c>
      <c r="E184" s="1" t="n">
        <v>46313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46313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46313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46313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46313</v>
      </c>
      <c r="F188" t="inlineStr">
        <is>
          <t>VÄSTRA GÖTALANDS LÄN</t>
        </is>
      </c>
      <c r="G188" t="inlineStr">
        <is>
          <t>SKARA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45514</v>
      </c>
      <c r="E189" s="1" t="n">
        <v>46313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46313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44995</v>
      </c>
      <c r="E191" s="1" t="n">
        <v>46313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46313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46313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46313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46313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46313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45109</v>
      </c>
      <c r="E197" s="1" t="n">
        <v>46313</v>
      </c>
      <c r="F197" t="inlineStr">
        <is>
          <t>VÄSTRA GÖTALANDS LÄN</t>
        </is>
      </c>
      <c r="G197" t="inlineStr">
        <is>
          <t>SKARA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46313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2590-2024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45313</v>
      </c>
      <c r="E199" s="1" t="n">
        <v>46313</v>
      </c>
      <c r="F199" t="inlineStr">
        <is>
          <t>VÄSTRA GÖTALANDS LÄN</t>
        </is>
      </c>
      <c r="G199" t="inlineStr">
        <is>
          <t>SKARA</t>
        </is>
      </c>
      <c r="I199" t="n">
        <v>11.7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45288</v>
      </c>
      <c r="E200" s="1" t="n">
        <v>46313</v>
      </c>
      <c r="F200" t="inlineStr">
        <is>
          <t>VÄSTRA GÖTALANDS LÄN</t>
        </is>
      </c>
      <c r="G200" t="inlineStr">
        <is>
          <t>SKARA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46313</v>
      </c>
      <c r="F201" t="inlineStr">
        <is>
          <t>VÄSTRA GÖTALANDS LÄN</t>
        </is>
      </c>
      <c r="G201" t="inlineStr">
        <is>
          <t>SKARA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46313</v>
      </c>
      <c r="F202" t="inlineStr">
        <is>
          <t>VÄSTRA GÖTALANDS LÄN</t>
        </is>
      </c>
      <c r="G202" t="inlineStr">
        <is>
          <t>SKARA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46313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46313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46313</v>
      </c>
      <c r="F205" t="inlineStr">
        <is>
          <t>VÄSTRA GÖTALANDS LÄN</t>
        </is>
      </c>
      <c r="G205" t="inlineStr">
        <is>
          <t>SKARA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41260-2026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46300</v>
      </c>
      <c r="E206" s="1" t="n">
        <v>46313</v>
      </c>
      <c r="F206" t="inlineStr">
        <is>
          <t>VÄSTRA GÖTALANDS LÄN</t>
        </is>
      </c>
      <c r="G206" t="inlineStr">
        <is>
          <t>SKARA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46313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46313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46313</v>
      </c>
      <c r="F209" t="inlineStr">
        <is>
          <t>VÄSTRA GÖTALANDS LÄN</t>
        </is>
      </c>
      <c r="G209" t="inlineStr">
        <is>
          <t>SKARA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46313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44946</v>
      </c>
      <c r="E211" s="1" t="n">
        <v>46313</v>
      </c>
      <c r="F211" t="inlineStr">
        <is>
          <t>VÄSTRA GÖTALANDS LÄN</t>
        </is>
      </c>
      <c r="G211" t="inlineStr">
        <is>
          <t>SKARA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46313</v>
      </c>
      <c r="F212" t="inlineStr">
        <is>
          <t>VÄSTRA GÖTALANDS LÄN</t>
        </is>
      </c>
      <c r="G212" t="inlineStr">
        <is>
          <t>SKARA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46313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46313</v>
      </c>
      <c r="F214" t="inlineStr">
        <is>
          <t>VÄSTRA GÖTALANDS LÄN</t>
        </is>
      </c>
      <c r="G214" t="inlineStr">
        <is>
          <t>SKARA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46313</v>
      </c>
      <c r="F215" t="inlineStr">
        <is>
          <t>VÄSTRA GÖTALANDS LÄN</t>
        </is>
      </c>
      <c r="G215" t="inlineStr">
        <is>
          <t>SKARA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46313</v>
      </c>
      <c r="F216" t="inlineStr">
        <is>
          <t>VÄSTRA GÖTALANDS LÄN</t>
        </is>
      </c>
      <c r="G216" t="inlineStr">
        <is>
          <t>SKARA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46313</v>
      </c>
      <c r="F217" t="inlineStr">
        <is>
          <t>VÄSTRA GÖTALANDS LÄN</t>
        </is>
      </c>
      <c r="G217" t="inlineStr">
        <is>
          <t>SKARA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45258</v>
      </c>
      <c r="E218" s="1" t="n">
        <v>46313</v>
      </c>
      <c r="F218" t="inlineStr">
        <is>
          <t>VÄSTRA GÖTALANDS LÄN</t>
        </is>
      </c>
      <c r="G218" t="inlineStr">
        <is>
          <t>SKARA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46313</v>
      </c>
      <c r="F219" t="inlineStr">
        <is>
          <t>VÄSTRA GÖTALANDS LÄN</t>
        </is>
      </c>
      <c r="G219" t="inlineStr">
        <is>
          <t>SKARA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44687</v>
      </c>
      <c r="E220" s="1" t="n">
        <v>46313</v>
      </c>
      <c r="F220" t="inlineStr">
        <is>
          <t>VÄSTRA GÖTALANDS LÄN</t>
        </is>
      </c>
      <c r="G220" t="inlineStr">
        <is>
          <t>SKARA</t>
        </is>
      </c>
      <c r="H220" t="inlineStr">
        <is>
          <t>Kommuner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46313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46313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2026-10-18T08:03:30Z</dcterms:created>
  <dcterms:modified xmlns:dcterms="http://purl.org/dc/terms/" xmlns:xsi="http://www.w3.org/2001/XMLSchema-instance" xsi:type="dcterms:W3CDTF">2026-10-18T08:03:31Z</dcterms:modified>
</cp:coreProperties>
</file>