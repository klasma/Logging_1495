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46277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46277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46277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46277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46277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46277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46277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46277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46277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46277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46277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46277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46277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46277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30080-2023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45110</v>
      </c>
      <c r="E16" s="1" t="n">
        <v>46277</v>
      </c>
      <c r="F16" t="inlineStr">
        <is>
          <t>VÄSTRA GÖTALANDS LÄN</t>
        </is>
      </c>
      <c r="G16" t="inlineStr">
        <is>
          <t>SKARA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HYPERLINK("https://klasma.github.io/Logging_1495/artfynd/A 30080-2023 artfynd.xlsx", "A 30080-2023")</f>
        <v/>
      </c>
      <c r="X16">
        <f>HYPERLINK("https://klasma.github.io/Logging_1495/kartor/A 30080-2023 karta.png", "A 30080-2023")</f>
        <v/>
      </c>
      <c r="Y16">
        <f>HYPERLINK("https://klasma.github.io/Logging_1495/kartor_geotiff/A 30080-2023 georefererad karta.tif", "A 30080-2023")</f>
        <v/>
      </c>
      <c r="AA16">
        <f>HYPERLINK("https://klasma.github.io/Logging_1495/klagomål/A 30080-2023 FSC-klagomål.docx", "A 30080-2023")</f>
        <v/>
      </c>
      <c r="AB16">
        <f>HYPERLINK("https://klasma.github.io/Logging_1495/klagomålsmail/A 30080-2023 FSC-klagomål mail.docx", "A 30080-2023")</f>
        <v/>
      </c>
      <c r="AC16">
        <f>HYPERLINK("https://klasma.github.io/Logging_1495/tillsyn/A 30080-2023 tillsynsbegäran.docx", "A 30080-2023")</f>
        <v/>
      </c>
      <c r="AD16">
        <f>HYPERLINK("https://klasma.github.io/Logging_1495/tillsynsmail/A 30080-2023 tillsynsbegäran mail.docx", "A 30080-2023")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46277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46277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46277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A 31736-2026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46227</v>
      </c>
      <c r="E20" s="1" t="n">
        <v>46277</v>
      </c>
      <c r="F20" t="inlineStr">
        <is>
          <t>VÄSTRA GÖTALANDS LÄN</t>
        </is>
      </c>
      <c r="G20" t="inlineStr">
        <is>
          <t>SKARA</t>
        </is>
      </c>
      <c r="I20" t="n">
        <v>2.2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Dvärghäxört</t>
        </is>
      </c>
      <c r="W20">
        <f>HYPERLINK("https://klasma.github.io/Logging_1495/artfynd/A 31736-2026 artfynd.xlsx", "A 31736-2026")</f>
        <v/>
      </c>
      <c r="X20">
        <f>HYPERLINK("https://klasma.github.io/Logging_1495/kartor/A 31736-2026 karta.png", "A 31736-2026")</f>
        <v/>
      </c>
      <c r="Y20">
        <f>HYPERLINK("https://klasma.github.io/Logging_1495/kartor_geotiff/A 31736-2026 georefererad karta.tif", "A 31736-2026")</f>
        <v/>
      </c>
      <c r="AA20">
        <f>HYPERLINK("https://klasma.github.io/Logging_1495/klagomål/A 31736-2026 FSC-klagomål.docx", "A 31736-2026")</f>
        <v/>
      </c>
      <c r="AB20">
        <f>HYPERLINK("https://klasma.github.io/Logging_1495/klagomålsmail/A 31736-2026 FSC-klagomål mail.docx", "A 31736-2026")</f>
        <v/>
      </c>
      <c r="AC20">
        <f>HYPERLINK("https://klasma.github.io/Logging_1495/tillsyn/A 31736-2026 tillsynsbegäran.docx", "A 31736-2026")</f>
        <v/>
      </c>
      <c r="AD20">
        <f>HYPERLINK("https://klasma.github.io/Logging_1495/tillsynsmail/A 31736-2026 tillsynsbegäran mail.docx", "A 31736-2026")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46277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46277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46277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46277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46277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46277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46277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46277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46277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46277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46277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46277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46277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46277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46277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46277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46277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46277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46277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46277</v>
      </c>
      <c r="F40" t="inlineStr">
        <is>
          <t>VÄSTRA GÖTALANDS LÄN</t>
        </is>
      </c>
      <c r="G40" t="inlineStr">
        <is>
          <t>SKARA</t>
        </is>
      </c>
      <c r="I40" t="n">
        <v>7.6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45335</v>
      </c>
      <c r="E41" s="1" t="n">
        <v>46277</v>
      </c>
      <c r="F41" t="inlineStr">
        <is>
          <t>VÄSTRA GÖTALANDS LÄN</t>
        </is>
      </c>
      <c r="G41" t="inlineStr">
        <is>
          <t>SKARA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14844-2024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46277</v>
      </c>
      <c r="F42" t="inlineStr">
        <is>
          <t>VÄSTRA GÖTALANDS LÄN</t>
        </is>
      </c>
      <c r="G42" t="inlineStr">
        <is>
          <t>SKARA</t>
        </is>
      </c>
      <c r="H42" t="inlineStr">
        <is>
          <t>Kommuner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48098-2022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44856</v>
      </c>
      <c r="E43" s="1" t="n">
        <v>46277</v>
      </c>
      <c r="F43" t="inlineStr">
        <is>
          <t>VÄSTRA GÖTALANDS LÄN</t>
        </is>
      </c>
      <c r="G43" t="inlineStr">
        <is>
          <t>SKARA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44860</v>
      </c>
      <c r="E44" s="1" t="n">
        <v>46277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46277</v>
      </c>
      <c r="F45" t="inlineStr">
        <is>
          <t>VÄSTRA GÖTALANDS LÄN</t>
        </is>
      </c>
      <c r="G45" t="inlineStr">
        <is>
          <t>SKARA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65124-2023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45288</v>
      </c>
      <c r="E46" s="1" t="n">
        <v>46277</v>
      </c>
      <c r="F46" t="inlineStr">
        <is>
          <t>VÄSTRA GÖTALANDS LÄN</t>
        </is>
      </c>
      <c r="G46" t="inlineStr">
        <is>
          <t>SKARA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60654-2021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46277</v>
      </c>
      <c r="F47" t="inlineStr">
        <is>
          <t>VÄSTRA GÖTALANDS LÄN</t>
        </is>
      </c>
      <c r="G47" t="inlineStr">
        <is>
          <t>SKARA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46277</v>
      </c>
      <c r="F48" t="inlineStr">
        <is>
          <t>VÄSTRA GÖTALANDS LÄN</t>
        </is>
      </c>
      <c r="G48" t="inlineStr">
        <is>
          <t>SKARA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46277</v>
      </c>
      <c r="F49" t="inlineStr">
        <is>
          <t>VÄSTRA GÖTALANDS LÄN</t>
        </is>
      </c>
      <c r="G49" t="inlineStr">
        <is>
          <t>SKARA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46277</v>
      </c>
      <c r="F50" t="inlineStr">
        <is>
          <t>VÄSTRA GÖTALANDS LÄN</t>
        </is>
      </c>
      <c r="G50" t="inlineStr">
        <is>
          <t>SKARA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25176-2023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45086</v>
      </c>
      <c r="E51" s="1" t="n">
        <v>46277</v>
      </c>
      <c r="F51" t="inlineStr">
        <is>
          <t>VÄSTRA GÖTALANDS LÄN</t>
        </is>
      </c>
      <c r="G51" t="inlineStr">
        <is>
          <t>SKARA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44587</v>
      </c>
      <c r="E52" s="1" t="n">
        <v>46277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46277</v>
      </c>
      <c r="F53" t="inlineStr">
        <is>
          <t>VÄSTRA GÖTALANDS LÄN</t>
        </is>
      </c>
      <c r="G53" t="inlineStr">
        <is>
          <t>SKARA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44946</v>
      </c>
      <c r="E54" s="1" t="n">
        <v>46277</v>
      </c>
      <c r="F54" t="inlineStr">
        <is>
          <t>VÄSTRA GÖTALANDS LÄN</t>
        </is>
      </c>
      <c r="G54" t="inlineStr">
        <is>
          <t>SKARA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16510-2024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46277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46277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7946-2023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44973</v>
      </c>
      <c r="E57" s="1" t="n">
        <v>46277</v>
      </c>
      <c r="F57" t="inlineStr">
        <is>
          <t>VÄSTRA GÖTALANDS LÄN</t>
        </is>
      </c>
      <c r="G57" t="inlineStr">
        <is>
          <t>SKARA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29255-2025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45824</v>
      </c>
      <c r="E58" s="1" t="n">
        <v>46277</v>
      </c>
      <c r="F58" t="inlineStr">
        <is>
          <t>VÄSTRA GÖTALANDS LÄN</t>
        </is>
      </c>
      <c r="G58" t="inlineStr">
        <is>
          <t>SKARA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45763</v>
      </c>
      <c r="E59" s="1" t="n">
        <v>46277</v>
      </c>
      <c r="F59" t="inlineStr">
        <is>
          <t>VÄSTRA GÖTALANDS LÄN</t>
        </is>
      </c>
      <c r="G59" t="inlineStr">
        <is>
          <t>SKARA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37032-2025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46277</v>
      </c>
      <c r="F60" t="inlineStr">
        <is>
          <t>VÄSTRA GÖTALANDS LÄN</t>
        </is>
      </c>
      <c r="G60" t="inlineStr">
        <is>
          <t>SKARA</t>
        </is>
      </c>
      <c r="I60" t="n">
        <v>5.9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39494-2025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46277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32844-2025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45839</v>
      </c>
      <c r="E62" s="1" t="n">
        <v>46277</v>
      </c>
      <c r="F62" t="inlineStr">
        <is>
          <t>VÄSTRA GÖTALANDS LÄN</t>
        </is>
      </c>
      <c r="G62" t="inlineStr">
        <is>
          <t>SKARA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32850-2025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45839</v>
      </c>
      <c r="E63" s="1" t="n">
        <v>46277</v>
      </c>
      <c r="F63" t="inlineStr">
        <is>
          <t>VÄSTRA GÖTALANDS LÄN</t>
        </is>
      </c>
      <c r="G63" t="inlineStr">
        <is>
          <t>SKARA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40264-2024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45554</v>
      </c>
      <c r="E64" s="1" t="n">
        <v>46277</v>
      </c>
      <c r="F64" t="inlineStr">
        <is>
          <t>VÄSTRA GÖTALANDS LÄN</t>
        </is>
      </c>
      <c r="G64" t="inlineStr">
        <is>
          <t>SKARA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39365-2025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46277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46277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46277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44953</v>
      </c>
      <c r="E68" s="1" t="n">
        <v>46277</v>
      </c>
      <c r="F68" t="inlineStr">
        <is>
          <t>VÄSTRA GÖTALANDS LÄN</t>
        </is>
      </c>
      <c r="G68" t="inlineStr">
        <is>
          <t>SKARA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33095-2025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45840</v>
      </c>
      <c r="E69" s="1" t="n">
        <v>46277</v>
      </c>
      <c r="F69" t="inlineStr">
        <is>
          <t>VÄSTRA GÖTALANDS LÄN</t>
        </is>
      </c>
      <c r="G69" t="inlineStr">
        <is>
          <t>SKARA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46277</v>
      </c>
      <c r="F70" t="inlineStr">
        <is>
          <t>VÄSTRA GÖTALANDS LÄN</t>
        </is>
      </c>
      <c r="G70" t="inlineStr">
        <is>
          <t>SKARA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20721-2025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45776</v>
      </c>
      <c r="E71" s="1" t="n">
        <v>46277</v>
      </c>
      <c r="F71" t="inlineStr">
        <is>
          <t>VÄSTRA GÖTALANDS LÄN</t>
        </is>
      </c>
      <c r="G71" t="inlineStr">
        <is>
          <t>SKARA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18704-2022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46277</v>
      </c>
      <c r="F72" t="inlineStr">
        <is>
          <t>VÄSTRA GÖTALANDS LÄN</t>
        </is>
      </c>
      <c r="G72" t="inlineStr">
        <is>
          <t>SKARA</t>
        </is>
      </c>
      <c r="H72" t="inlineStr">
        <is>
          <t>Kommuner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60233-2023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45258</v>
      </c>
      <c r="E73" s="1" t="n">
        <v>46277</v>
      </c>
      <c r="F73" t="inlineStr">
        <is>
          <t>VÄSTRA GÖTALANDS LÄN</t>
        </is>
      </c>
      <c r="G73" t="inlineStr">
        <is>
          <t>SKARA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46277</v>
      </c>
      <c r="F74" t="inlineStr">
        <is>
          <t>VÄSTRA GÖTALANDS LÄN</t>
        </is>
      </c>
      <c r="G74" t="inlineStr">
        <is>
          <t>SKARA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9691-2026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46277</v>
      </c>
      <c r="F75" t="inlineStr">
        <is>
          <t>VÄSTRA GÖTALANDS LÄN</t>
        </is>
      </c>
      <c r="G75" t="inlineStr">
        <is>
          <t>SKARA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45713</v>
      </c>
      <c r="E76" s="1" t="n">
        <v>46277</v>
      </c>
      <c r="F76" t="inlineStr">
        <is>
          <t>VÄSTRA GÖTALANDS LÄN</t>
        </is>
      </c>
      <c r="G76" t="inlineStr">
        <is>
          <t>SKARA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28073-2023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45099</v>
      </c>
      <c r="E77" s="1" t="n">
        <v>46277</v>
      </c>
      <c r="F77" t="inlineStr">
        <is>
          <t>VÄSTRA GÖTALANDS LÄN</t>
        </is>
      </c>
      <c r="G77" t="inlineStr">
        <is>
          <t>SKARA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46277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60840-2021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46277</v>
      </c>
      <c r="F79" t="inlineStr">
        <is>
          <t>VÄSTRA GÖTALANDS LÄN</t>
        </is>
      </c>
      <c r="G79" t="inlineStr">
        <is>
          <t>SKARA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44957</v>
      </c>
      <c r="E80" s="1" t="n">
        <v>46277</v>
      </c>
      <c r="F80" t="inlineStr">
        <is>
          <t>VÄSTRA GÖTALANDS LÄN</t>
        </is>
      </c>
      <c r="G80" t="inlineStr">
        <is>
          <t>SKARA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46277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46277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46277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46277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60086-2024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45642</v>
      </c>
      <c r="E85" s="1" t="n">
        <v>46277</v>
      </c>
      <c r="F85" t="inlineStr">
        <is>
          <t>VÄSTRA GÖTALANDS LÄN</t>
        </is>
      </c>
      <c r="G85" t="inlineStr">
        <is>
          <t>SKARA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47010-2025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46277</v>
      </c>
      <c r="F86" t="inlineStr">
        <is>
          <t>VÄSTRA GÖTALANDS LÄN</t>
        </is>
      </c>
      <c r="G86" t="inlineStr">
        <is>
          <t>SKARA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44970</v>
      </c>
      <c r="E87" s="1" t="n">
        <v>46277</v>
      </c>
      <c r="F87" t="inlineStr">
        <is>
          <t>VÄSTRA GÖTALANDS LÄN</t>
        </is>
      </c>
      <c r="G87" t="inlineStr">
        <is>
          <t>SKARA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45932</v>
      </c>
      <c r="E88" s="1" t="n">
        <v>46277</v>
      </c>
      <c r="F88" t="inlineStr">
        <is>
          <t>VÄSTRA GÖTALANDS LÄN</t>
        </is>
      </c>
      <c r="G88" t="inlineStr">
        <is>
          <t>SKARA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32668-2024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45514</v>
      </c>
      <c r="E89" s="1" t="n">
        <v>46277</v>
      </c>
      <c r="F89" t="inlineStr">
        <is>
          <t>VÄSTRA GÖTALANDS LÄN</t>
        </is>
      </c>
      <c r="G89" t="inlineStr">
        <is>
          <t>SKARA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31128-2023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45113</v>
      </c>
      <c r="E90" s="1" t="n">
        <v>46277</v>
      </c>
      <c r="F90" t="inlineStr">
        <is>
          <t>VÄSTRA GÖTALANDS LÄN</t>
        </is>
      </c>
      <c r="G90" t="inlineStr">
        <is>
          <t>SKARA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12332-2026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46087</v>
      </c>
      <c r="E91" s="1" t="n">
        <v>46277</v>
      </c>
      <c r="F91" t="inlineStr">
        <is>
          <t>VÄSTRA GÖTALANDS LÄN</t>
        </is>
      </c>
      <c r="G91" t="inlineStr">
        <is>
          <t>SKARA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46277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13276-2026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46093</v>
      </c>
      <c r="E93" s="1" t="n">
        <v>46277</v>
      </c>
      <c r="F93" t="inlineStr">
        <is>
          <t>VÄSTRA GÖTALANDS LÄN</t>
        </is>
      </c>
      <c r="G93" t="inlineStr">
        <is>
          <t>SKARA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46277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46093</v>
      </c>
      <c r="E95" s="1" t="n">
        <v>46277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46101</v>
      </c>
      <c r="E96" s="1" t="n">
        <v>46277</v>
      </c>
      <c r="F96" t="inlineStr">
        <is>
          <t>VÄSTRA GÖTALANDS LÄN</t>
        </is>
      </c>
      <c r="G96" t="inlineStr">
        <is>
          <t>SKARA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14577-2026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46101</v>
      </c>
      <c r="E97" s="1" t="n">
        <v>46277</v>
      </c>
      <c r="F97" t="inlineStr">
        <is>
          <t>VÄSTRA GÖTALANDS LÄN</t>
        </is>
      </c>
      <c r="G97" t="inlineStr">
        <is>
          <t>SKARA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46277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44990</v>
      </c>
      <c r="E99" s="1" t="n">
        <v>46277</v>
      </c>
      <c r="F99" t="inlineStr">
        <is>
          <t>VÄSTRA GÖTALANDS LÄN</t>
        </is>
      </c>
      <c r="G99" t="inlineStr">
        <is>
          <t>SKARA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27980-2023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46277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42874-2022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44832</v>
      </c>
      <c r="E101" s="1" t="n">
        <v>46277</v>
      </c>
      <c r="F101" t="inlineStr">
        <is>
          <t>VÄSTRA GÖTALANDS LÄN</t>
        </is>
      </c>
      <c r="G101" t="inlineStr">
        <is>
          <t>SKARA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45091</v>
      </c>
      <c r="E102" s="1" t="n">
        <v>46277</v>
      </c>
      <c r="F102" t="inlineStr">
        <is>
          <t>VÄSTRA GÖTALANDS LÄN</t>
        </is>
      </c>
      <c r="G102" t="inlineStr">
        <is>
          <t>SKARA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46277</v>
      </c>
      <c r="F103" t="inlineStr">
        <is>
          <t>VÄSTRA GÖTALANDS LÄN</t>
        </is>
      </c>
      <c r="G103" t="inlineStr">
        <is>
          <t>SKARA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45667</v>
      </c>
      <c r="E104" s="1" t="n">
        <v>46277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46277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Kyrkan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46277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46277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46277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46277</v>
      </c>
      <c r="F109" t="inlineStr">
        <is>
          <t>VÄSTRA GÖTALANDS LÄN</t>
        </is>
      </c>
      <c r="G109" t="inlineStr">
        <is>
          <t>SKARA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16199-2026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46111</v>
      </c>
      <c r="E110" s="1" t="n">
        <v>46277</v>
      </c>
      <c r="F110" t="inlineStr">
        <is>
          <t>VÄSTRA GÖTALANDS LÄN</t>
        </is>
      </c>
      <c r="G110" t="inlineStr">
        <is>
          <t>SKARA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46277</v>
      </c>
      <c r="F111" t="inlineStr">
        <is>
          <t>VÄSTRA GÖTALANDS LÄN</t>
        </is>
      </c>
      <c r="G111" t="inlineStr">
        <is>
          <t>SKARA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46277</v>
      </c>
      <c r="F112" t="inlineStr">
        <is>
          <t>VÄSTRA GÖTALANDS LÄN</t>
        </is>
      </c>
      <c r="G112" t="inlineStr">
        <is>
          <t>SKARA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45288</v>
      </c>
      <c r="E113" s="1" t="n">
        <v>46277</v>
      </c>
      <c r="F113" t="inlineStr">
        <is>
          <t>VÄSTRA GÖTALANDS LÄN</t>
        </is>
      </c>
      <c r="G113" t="inlineStr">
        <is>
          <t>SKARA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46277</v>
      </c>
      <c r="F114" t="inlineStr">
        <is>
          <t>VÄSTRA GÖTALANDS LÄN</t>
        </is>
      </c>
      <c r="G114" t="inlineStr">
        <is>
          <t>SKARA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16755-2026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46113</v>
      </c>
      <c r="E115" s="1" t="n">
        <v>46277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46277</v>
      </c>
      <c r="F116" t="inlineStr">
        <is>
          <t>VÄSTRA GÖTALANDS LÄN</t>
        </is>
      </c>
      <c r="G116" t="inlineStr">
        <is>
          <t>SKARA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45043</v>
      </c>
      <c r="E117" s="1" t="n">
        <v>46277</v>
      </c>
      <c r="F117" t="inlineStr">
        <is>
          <t>VÄSTRA GÖTALANDS LÄN</t>
        </is>
      </c>
      <c r="G117" t="inlineStr">
        <is>
          <t>SKARA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56274-2025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46277</v>
      </c>
      <c r="F118" t="inlineStr">
        <is>
          <t>VÄSTRA GÖTALANDS LÄN</t>
        </is>
      </c>
      <c r="G118" t="inlineStr">
        <is>
          <t>SKARA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17288-2026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46277</v>
      </c>
      <c r="F119" t="inlineStr">
        <is>
          <t>VÄSTRA GÖTALANDS LÄN</t>
        </is>
      </c>
      <c r="G119" t="inlineStr">
        <is>
          <t>SKARA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45539</v>
      </c>
      <c r="E120" s="1" t="n">
        <v>46277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8.199999999999999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46277</v>
      </c>
      <c r="F121" t="inlineStr">
        <is>
          <t>VÄSTRA GÖTALANDS LÄN</t>
        </is>
      </c>
      <c r="G121" t="inlineStr">
        <is>
          <t>SKARA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45492</v>
      </c>
      <c r="E122" s="1" t="n">
        <v>46277</v>
      </c>
      <c r="F122" t="inlineStr">
        <is>
          <t>VÄSTRA GÖTALANDS LÄN</t>
        </is>
      </c>
      <c r="G122" t="inlineStr">
        <is>
          <t>SKARA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46129</v>
      </c>
      <c r="E123" s="1" t="n">
        <v>46277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44908</v>
      </c>
      <c r="E124" s="1" t="n">
        <v>46277</v>
      </c>
      <c r="F124" t="inlineStr">
        <is>
          <t>VÄSTRA GÖTALANDS LÄN</t>
        </is>
      </c>
      <c r="G124" t="inlineStr">
        <is>
          <t>SKARA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46277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46277</v>
      </c>
      <c r="F126" t="inlineStr">
        <is>
          <t>VÄSTRA GÖTALANDS LÄN</t>
        </is>
      </c>
      <c r="G126" t="inlineStr">
        <is>
          <t>SKARA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45149</v>
      </c>
      <c r="E127" s="1" t="n">
        <v>46277</v>
      </c>
      <c r="F127" t="inlineStr">
        <is>
          <t>VÄSTRA GÖTALANDS LÄN</t>
        </is>
      </c>
      <c r="G127" t="inlineStr">
        <is>
          <t>SKARA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36045-2023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45149</v>
      </c>
      <c r="E128" s="1" t="n">
        <v>46277</v>
      </c>
      <c r="F128" t="inlineStr">
        <is>
          <t>VÄSTRA GÖTALANDS LÄN</t>
        </is>
      </c>
      <c r="G128" t="inlineStr">
        <is>
          <t>SKARA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62779-2025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46277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Kyrkan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45883</v>
      </c>
      <c r="E130" s="1" t="n">
        <v>46277</v>
      </c>
      <c r="F130" t="inlineStr">
        <is>
          <t>VÄSTRA GÖTALANDS LÄN</t>
        </is>
      </c>
      <c r="G130" t="inlineStr">
        <is>
          <t>SKARA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30019-2023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45109</v>
      </c>
      <c r="E131" s="1" t="n">
        <v>46277</v>
      </c>
      <c r="F131" t="inlineStr">
        <is>
          <t>VÄSTRA GÖTALANDS LÄN</t>
        </is>
      </c>
      <c r="G131" t="inlineStr">
        <is>
          <t>SKARA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46277</v>
      </c>
      <c r="F132" t="inlineStr">
        <is>
          <t>VÄSTRA GÖTALANDS LÄN</t>
        </is>
      </c>
      <c r="G132" t="inlineStr">
        <is>
          <t>SKARA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46277</v>
      </c>
      <c r="F133" t="inlineStr">
        <is>
          <t>VÄSTRA GÖTALANDS LÄN</t>
        </is>
      </c>
      <c r="G133" t="inlineStr">
        <is>
          <t>SKARA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46277</v>
      </c>
      <c r="F134" t="inlineStr">
        <is>
          <t>VÄSTRA GÖTALANDS LÄN</t>
        </is>
      </c>
      <c r="G134" t="inlineStr">
        <is>
          <t>SKARA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45763</v>
      </c>
      <c r="E135" s="1" t="n">
        <v>46277</v>
      </c>
      <c r="F135" t="inlineStr">
        <is>
          <t>VÄSTRA GÖTALANDS LÄN</t>
        </is>
      </c>
      <c r="G135" t="inlineStr">
        <is>
          <t>SKARA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46277</v>
      </c>
      <c r="F136" t="inlineStr">
        <is>
          <t>VÄSTRA GÖTALANDS LÄN</t>
        </is>
      </c>
      <c r="G136" t="inlineStr">
        <is>
          <t>SKARA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45309</v>
      </c>
      <c r="E137" s="1" t="n">
        <v>46277</v>
      </c>
      <c r="F137" t="inlineStr">
        <is>
          <t>VÄSTRA GÖTALANDS LÄN</t>
        </is>
      </c>
      <c r="G137" t="inlineStr">
        <is>
          <t>SKARA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46277</v>
      </c>
      <c r="F138" t="inlineStr">
        <is>
          <t>VÄSTRA GÖTALANDS LÄN</t>
        </is>
      </c>
      <c r="G138" t="inlineStr">
        <is>
          <t>SKARA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30513-2024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45492</v>
      </c>
      <c r="E139" s="1" t="n">
        <v>46277</v>
      </c>
      <c r="F139" t="inlineStr">
        <is>
          <t>VÄSTRA GÖTALANDS LÄN</t>
        </is>
      </c>
      <c r="G139" t="inlineStr">
        <is>
          <t>SKARA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46277</v>
      </c>
      <c r="F140" t="inlineStr">
        <is>
          <t>VÄSTRA GÖTALANDS LÄN</t>
        </is>
      </c>
      <c r="G140" t="inlineStr">
        <is>
          <t>SKARA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46277</v>
      </c>
      <c r="F141" t="inlineStr">
        <is>
          <t>VÄSTRA GÖTALANDS LÄN</t>
        </is>
      </c>
      <c r="G141" t="inlineStr">
        <is>
          <t>SKARA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46277</v>
      </c>
      <c r="F142" t="inlineStr">
        <is>
          <t>VÄSTRA GÖTALANDS LÄN</t>
        </is>
      </c>
      <c r="G142" t="inlineStr">
        <is>
          <t>SKARA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46277</v>
      </c>
      <c r="F143" t="inlineStr">
        <is>
          <t>VÄSTRA GÖTALANDS LÄN</t>
        </is>
      </c>
      <c r="G143" t="inlineStr">
        <is>
          <t>SKARA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45175</v>
      </c>
      <c r="E144" s="1" t="n">
        <v>46277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Kommuner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46277</v>
      </c>
      <c r="F145" t="inlineStr">
        <is>
          <t>VÄSTRA GÖTALANDS LÄN</t>
        </is>
      </c>
      <c r="G145" t="inlineStr">
        <is>
          <t>SKARA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45462</v>
      </c>
      <c r="E146" s="1" t="n">
        <v>46277</v>
      </c>
      <c r="F146" t="inlineStr">
        <is>
          <t>VÄSTRA GÖTALANDS LÄN</t>
        </is>
      </c>
      <c r="G146" t="inlineStr">
        <is>
          <t>SKARA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46277</v>
      </c>
      <c r="F147" t="inlineStr">
        <is>
          <t>VÄSTRA GÖTALANDS LÄN</t>
        </is>
      </c>
      <c r="G147" t="inlineStr">
        <is>
          <t>SKARA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45469</v>
      </c>
      <c r="E148" s="1" t="n">
        <v>46277</v>
      </c>
      <c r="F148" t="inlineStr">
        <is>
          <t>VÄSTRA GÖTALANDS LÄN</t>
        </is>
      </c>
      <c r="G148" t="inlineStr">
        <is>
          <t>SKARA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46277</v>
      </c>
      <c r="F149" t="inlineStr">
        <is>
          <t>VÄSTRA GÖTALANDS LÄN</t>
        </is>
      </c>
      <c r="G149" t="inlineStr">
        <is>
          <t>SKARA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46277</v>
      </c>
      <c r="F150" t="inlineStr">
        <is>
          <t>VÄSTRA GÖTALANDS LÄN</t>
        </is>
      </c>
      <c r="G150" t="inlineStr">
        <is>
          <t>SKARA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45159-2022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46277</v>
      </c>
      <c r="F151" t="inlineStr">
        <is>
          <t>VÄSTRA GÖTALANDS LÄN</t>
        </is>
      </c>
      <c r="G151" t="inlineStr">
        <is>
          <t>SKARA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46277</v>
      </c>
      <c r="F152" t="inlineStr">
        <is>
          <t>VÄSTRA GÖTALANDS LÄN</t>
        </is>
      </c>
      <c r="G152" t="inlineStr">
        <is>
          <t>SKARA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23457-2026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46163</v>
      </c>
      <c r="E153" s="1" t="n">
        <v>46277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46163</v>
      </c>
      <c r="E154" s="1" t="n">
        <v>46277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46168</v>
      </c>
      <c r="E155" s="1" t="n">
        <v>46277</v>
      </c>
      <c r="F155" t="inlineStr">
        <is>
          <t>VÄSTRA GÖTALANDS LÄN</t>
        </is>
      </c>
      <c r="G155" t="inlineStr">
        <is>
          <t>SKARA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46168</v>
      </c>
      <c r="E156" s="1" t="n">
        <v>46277</v>
      </c>
      <c r="F156" t="inlineStr">
        <is>
          <t>VÄSTRA GÖTALANDS LÄN</t>
        </is>
      </c>
      <c r="G156" t="inlineStr">
        <is>
          <t>SKARA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45420</v>
      </c>
      <c r="E157" s="1" t="n">
        <v>46277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46168</v>
      </c>
      <c r="E158" s="1" t="n">
        <v>46277</v>
      </c>
      <c r="F158" t="inlineStr">
        <is>
          <t>VÄSTRA GÖTALANDS LÄN</t>
        </is>
      </c>
      <c r="G158" t="inlineStr">
        <is>
          <t>SKARA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44701</v>
      </c>
      <c r="E159" s="1" t="n">
        <v>46277</v>
      </c>
      <c r="F159" t="inlineStr">
        <is>
          <t>VÄSTRA GÖTALANDS LÄN</t>
        </is>
      </c>
      <c r="G159" t="inlineStr">
        <is>
          <t>SKARA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44698</v>
      </c>
      <c r="E160" s="1" t="n">
        <v>46277</v>
      </c>
      <c r="F160" t="inlineStr">
        <is>
          <t>VÄSTRA GÖTALANDS LÄN</t>
        </is>
      </c>
      <c r="G160" t="inlineStr">
        <is>
          <t>SKARA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46277</v>
      </c>
      <c r="F161" t="inlineStr">
        <is>
          <t>VÄSTRA GÖTALANDS LÄN</t>
        </is>
      </c>
      <c r="G161" t="inlineStr">
        <is>
          <t>SKARA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45370</v>
      </c>
      <c r="E162" s="1" t="n">
        <v>46277</v>
      </c>
      <c r="F162" t="inlineStr">
        <is>
          <t>VÄSTRA GÖTALANDS LÄN</t>
        </is>
      </c>
      <c r="G162" t="inlineStr">
        <is>
          <t>SKARA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46182</v>
      </c>
      <c r="E163" s="1" t="n">
        <v>46277</v>
      </c>
      <c r="F163" t="inlineStr">
        <is>
          <t>VÄSTRA GÖTALANDS LÄN</t>
        </is>
      </c>
      <c r="G163" t="inlineStr">
        <is>
          <t>SKARA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46277</v>
      </c>
      <c r="F164" t="inlineStr">
        <is>
          <t>VÄSTRA GÖTALANDS LÄN</t>
        </is>
      </c>
      <c r="G164" t="inlineStr">
        <is>
          <t>SKARA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27478-2026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46189</v>
      </c>
      <c r="E165" s="1" t="n">
        <v>46277</v>
      </c>
      <c r="F165" t="inlineStr">
        <is>
          <t>VÄSTRA GÖTALANDS LÄN</t>
        </is>
      </c>
      <c r="G165" t="inlineStr">
        <is>
          <t>SKARA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22870-2024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45448</v>
      </c>
      <c r="E166" s="1" t="n">
        <v>46277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18701-2022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44687</v>
      </c>
      <c r="E167" s="1" t="n">
        <v>46277</v>
      </c>
      <c r="F167" t="inlineStr">
        <is>
          <t>VÄSTRA GÖTALANDS LÄN</t>
        </is>
      </c>
      <c r="G167" t="inlineStr">
        <is>
          <t>SKARA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46190-2023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46277</v>
      </c>
      <c r="F168" t="inlineStr">
        <is>
          <t>VÄSTRA GÖTALANDS LÄN</t>
        </is>
      </c>
      <c r="G168" t="inlineStr">
        <is>
          <t>SKARA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44827</v>
      </c>
      <c r="E169" s="1" t="n">
        <v>46277</v>
      </c>
      <c r="F169" t="inlineStr">
        <is>
          <t>VÄSTRA GÖTALANDS LÄN</t>
        </is>
      </c>
      <c r="G169" t="inlineStr">
        <is>
          <t>SKARA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45314</v>
      </c>
      <c r="E170" s="1" t="n">
        <v>46277</v>
      </c>
      <c r="F170" t="inlineStr">
        <is>
          <t>VÄSTRA GÖTALANDS LÄN</t>
        </is>
      </c>
      <c r="G170" t="inlineStr">
        <is>
          <t>SKARA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45687</v>
      </c>
      <c r="E171" s="1" t="n">
        <v>46277</v>
      </c>
      <c r="F171" t="inlineStr">
        <is>
          <t>VÄSTRA GÖTALANDS LÄN</t>
        </is>
      </c>
      <c r="G171" t="inlineStr">
        <is>
          <t>SKARA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44909</v>
      </c>
      <c r="E172" s="1" t="n">
        <v>46277</v>
      </c>
      <c r="F172" t="inlineStr">
        <is>
          <t>VÄSTRA GÖTALANDS LÄN</t>
        </is>
      </c>
      <c r="G172" t="inlineStr">
        <is>
          <t>SKARA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46277</v>
      </c>
      <c r="F173" t="inlineStr">
        <is>
          <t>VÄSTRA GÖTALANDS LÄN</t>
        </is>
      </c>
      <c r="G173" t="inlineStr">
        <is>
          <t>SKARA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44995</v>
      </c>
      <c r="E174" s="1" t="n">
        <v>46277</v>
      </c>
      <c r="F174" t="inlineStr">
        <is>
          <t>VÄSTRA GÖTALANDS LÄN</t>
        </is>
      </c>
      <c r="G174" t="inlineStr">
        <is>
          <t>SKARA</t>
        </is>
      </c>
      <c r="I174" t="n">
        <v>13.5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55246-2022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44887</v>
      </c>
      <c r="E175" s="1" t="n">
        <v>46277</v>
      </c>
      <c r="F175" t="inlineStr">
        <is>
          <t>VÄSTRA GÖTALANDS LÄN</t>
        </is>
      </c>
      <c r="G175" t="inlineStr">
        <is>
          <t>SKARA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46277</v>
      </c>
      <c r="F176" t="inlineStr">
        <is>
          <t>VÄSTRA GÖTALANDS LÄN</t>
        </is>
      </c>
      <c r="G176" t="inlineStr">
        <is>
          <t>SKARA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46277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Sveaskog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46246</v>
      </c>
      <c r="E178" s="1" t="n">
        <v>46277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Kyrkan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46277</v>
      </c>
      <c r="F179" t="inlineStr">
        <is>
          <t>VÄSTRA GÖTALANDS LÄN</t>
        </is>
      </c>
      <c r="G179" t="inlineStr">
        <is>
          <t>SKARA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46277</v>
      </c>
      <c r="F180" t="inlineStr">
        <is>
          <t>VÄSTRA GÖTALANDS LÄN</t>
        </is>
      </c>
      <c r="G180" t="inlineStr">
        <is>
          <t>SKARA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34569-2023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45140</v>
      </c>
      <c r="E181" s="1" t="n">
        <v>46277</v>
      </c>
      <c r="F181" t="inlineStr">
        <is>
          <t>VÄSTRA GÖTALANDS LÄN</t>
        </is>
      </c>
      <c r="G181" t="inlineStr">
        <is>
          <t>SKARA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46247</v>
      </c>
      <c r="E182" s="1" t="n">
        <v>46277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11900-2023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44995</v>
      </c>
      <c r="E183" s="1" t="n">
        <v>46277</v>
      </c>
      <c r="F183" t="inlineStr">
        <is>
          <t>VÄSTRA GÖTALANDS LÄN</t>
        </is>
      </c>
      <c r="G183" t="inlineStr">
        <is>
          <t>SKARA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45224</v>
      </c>
      <c r="E184" s="1" t="n">
        <v>46277</v>
      </c>
      <c r="F184" t="inlineStr">
        <is>
          <t>VÄSTRA GÖTALANDS LÄN</t>
        </is>
      </c>
      <c r="G184" t="inlineStr">
        <is>
          <t>SKARA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46277</v>
      </c>
      <c r="F185" t="inlineStr">
        <is>
          <t>VÄSTRA GÖTALANDS LÄN</t>
        </is>
      </c>
      <c r="G185" t="inlineStr">
        <is>
          <t>SKARA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46277</v>
      </c>
      <c r="F186" t="inlineStr">
        <is>
          <t>VÄSTRA GÖTALANDS LÄN</t>
        </is>
      </c>
      <c r="G186" t="inlineStr">
        <is>
          <t>SKARA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46277</v>
      </c>
      <c r="F187" t="inlineStr">
        <is>
          <t>VÄSTRA GÖTALANDS LÄN</t>
        </is>
      </c>
      <c r="G187" t="inlineStr">
        <is>
          <t>SKARA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45435</v>
      </c>
      <c r="E188" s="1" t="n">
        <v>46277</v>
      </c>
      <c r="F188" t="inlineStr">
        <is>
          <t>VÄSTRA GÖTALANDS LÄN</t>
        </is>
      </c>
      <c r="G188" t="inlineStr">
        <is>
          <t>SKARA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46277</v>
      </c>
      <c r="F189" t="inlineStr">
        <is>
          <t>VÄSTRA GÖTALANDS LÄN</t>
        </is>
      </c>
      <c r="G189" t="inlineStr">
        <is>
          <t>SKARA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44642</v>
      </c>
      <c r="E190" s="1" t="n">
        <v>46277</v>
      </c>
      <c r="F190" t="inlineStr">
        <is>
          <t>VÄSTRA GÖTALANDS LÄN</t>
        </is>
      </c>
      <c r="G190" t="inlineStr">
        <is>
          <t>SKARA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45091</v>
      </c>
      <c r="E191" s="1" t="n">
        <v>46277</v>
      </c>
      <c r="F191" t="inlineStr">
        <is>
          <t>VÄSTRA GÖTALANDS LÄN</t>
        </is>
      </c>
      <c r="G191" t="inlineStr">
        <is>
          <t>SKARA</t>
        </is>
      </c>
      <c r="I191" t="n">
        <v>21.6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45224</v>
      </c>
      <c r="E192" s="1" t="n">
        <v>46277</v>
      </c>
      <c r="F192" t="inlineStr">
        <is>
          <t>VÄSTRA GÖTALANDS LÄN</t>
        </is>
      </c>
      <c r="G192" t="inlineStr">
        <is>
          <t>SKARA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45156</v>
      </c>
      <c r="E193" s="1" t="n">
        <v>46277</v>
      </c>
      <c r="F193" t="inlineStr">
        <is>
          <t>VÄSTRA GÖTALANDS LÄN</t>
        </is>
      </c>
      <c r="G193" t="inlineStr">
        <is>
          <t>SKARA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46203</v>
      </c>
      <c r="E194" s="1" t="n">
        <v>46277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Kyrkan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46168</v>
      </c>
      <c r="E195" s="1" t="n">
        <v>46277</v>
      </c>
      <c r="F195" t="inlineStr">
        <is>
          <t>VÄSTRA GÖTALANDS LÄN</t>
        </is>
      </c>
      <c r="G195" t="inlineStr">
        <is>
          <t>SKARA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46277</v>
      </c>
      <c r="F196" t="inlineStr">
        <is>
          <t>VÄSTRA GÖTALANDS LÄN</t>
        </is>
      </c>
      <c r="G196" t="inlineStr">
        <is>
          <t>SKARA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46277</v>
      </c>
      <c r="F197" t="inlineStr">
        <is>
          <t>VÄSTRA GÖTALANDS LÄN</t>
        </is>
      </c>
      <c r="G197" t="inlineStr">
        <is>
          <t>SKARA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46277</v>
      </c>
      <c r="F198" t="inlineStr">
        <is>
          <t>VÄSTRA GÖTALANDS LÄN</t>
        </is>
      </c>
      <c r="G198" t="inlineStr">
        <is>
          <t>SKARA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45356</v>
      </c>
      <c r="E199" s="1" t="n">
        <v>46277</v>
      </c>
      <c r="F199" t="inlineStr">
        <is>
          <t>VÄSTRA GÖTALANDS LÄN</t>
        </is>
      </c>
      <c r="G199" t="inlineStr">
        <is>
          <t>SKARA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46277</v>
      </c>
      <c r="F200" t="inlineStr">
        <is>
          <t>VÄSTRA GÖTALANDS LÄN</t>
        </is>
      </c>
      <c r="G200" t="inlineStr">
        <is>
          <t>SKARA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27668-2022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44743</v>
      </c>
      <c r="E201" s="1" t="n">
        <v>46277</v>
      </c>
      <c r="F201" t="inlineStr">
        <is>
          <t>VÄSTRA GÖTALANDS LÄN</t>
        </is>
      </c>
      <c r="G201" t="inlineStr">
        <is>
          <t>SKARA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46277</v>
      </c>
      <c r="F202" t="inlineStr">
        <is>
          <t>VÄSTRA GÖTALANDS LÄN</t>
        </is>
      </c>
      <c r="G202" t="inlineStr">
        <is>
          <t>SKARA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44978</v>
      </c>
      <c r="E203" s="1" t="n">
        <v>46277</v>
      </c>
      <c r="F203" t="inlineStr">
        <is>
          <t>VÄSTRA GÖTALANDS LÄN</t>
        </is>
      </c>
      <c r="G203" t="inlineStr">
        <is>
          <t>SKARA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17705-2025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45758</v>
      </c>
      <c r="E204" s="1" t="n">
        <v>46277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46277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46277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46277</v>
      </c>
      <c r="F207" t="inlineStr">
        <is>
          <t>VÄSTRA GÖTALANDS LÄN</t>
        </is>
      </c>
      <c r="G207" t="inlineStr">
        <is>
          <t>SKARA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49435-2024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45595</v>
      </c>
      <c r="E208" s="1" t="n">
        <v>46277</v>
      </c>
      <c r="F208" t="inlineStr">
        <is>
          <t>VÄSTRA GÖTALANDS LÄN</t>
        </is>
      </c>
      <c r="G208" t="inlineStr">
        <is>
          <t>SKARA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46277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46277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46277</v>
      </c>
      <c r="F211" t="inlineStr">
        <is>
          <t>VÄSTRA GÖTALANDS LÄN</t>
        </is>
      </c>
      <c r="G211" t="inlineStr">
        <is>
          <t>SKARA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46277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46277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2026-09-12T02:13:02Z</dcterms:created>
  <dcterms:modified xmlns:dcterms="http://purl.org/dc/terms/" xmlns:xsi="http://www.w3.org/2001/XMLSchema-instance" xsi:type="dcterms:W3CDTF">2026-09-12T02:13:02Z</dcterms:modified>
</cp:coreProperties>
</file>