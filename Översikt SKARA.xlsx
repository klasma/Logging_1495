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46307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46307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46307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46307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46307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46307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46307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46307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46307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52041-2023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45223</v>
      </c>
      <c r="E13" s="1" t="n">
        <v>46307</v>
      </c>
      <c r="F13" t="inlineStr">
        <is>
          <t>VÄSTRA GÖTALANDS LÄN</t>
        </is>
      </c>
      <c r="G13" t="inlineStr">
        <is>
          <t>SKARA</t>
        </is>
      </c>
      <c r="I13" t="n">
        <v>5.9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Svinrot</t>
        </is>
      </c>
      <c r="W13">
        <f>HYPERLINK("https://klasma.github.io/Logging_1495/artfynd/A 52041-2023 artfynd.xlsx", "A 52041-2023")</f>
        <v/>
      </c>
      <c r="X13">
        <f>HYPERLINK("https://klasma.github.io/Logging_1495/kartor/A 52041-2023 karta.png", "A 52041-2023")</f>
        <v/>
      </c>
      <c r="Y13">
        <f>HYPERLINK("https://klasma.github.io/Logging_1495/kartor_geotiff/A 52041-2023 georefererad karta.tif", "A 52041-2023")</f>
        <v/>
      </c>
      <c r="AA13">
        <f>HYPERLINK("https://klasma.github.io/Logging_1495/klagomål/A 52041-2023 FSC-klagomål.docx", "A 52041-2023")</f>
        <v/>
      </c>
      <c r="AB13">
        <f>HYPERLINK("https://klasma.github.io/Logging_1495/klagomålsmail/A 52041-2023 FSC-klagomål mail.docx", "A 52041-2023")</f>
        <v/>
      </c>
      <c r="AC13">
        <f>HYPERLINK("https://klasma.github.io/Logging_1495/tillsyn/A 52041-2023 tillsynsbegäran.docx", "A 52041-2023")</f>
        <v/>
      </c>
      <c r="AD13">
        <f>HYPERLINK("https://klasma.github.io/Logging_1495/tillsynsmail/A 52041-2023 tillsynsbegäran mail.docx", "A 52041-2023")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46307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46307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46307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46307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46307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46307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46307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46307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46307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46307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46307</v>
      </c>
      <c r="F29" t="inlineStr">
        <is>
          <t>VÄSTRA GÖTALANDS LÄN</t>
        </is>
      </c>
      <c r="G29" t="inlineStr">
        <is>
          <t>SKARA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46307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46307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46307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44595</v>
      </c>
      <c r="E33" s="1" t="n">
        <v>46307</v>
      </c>
      <c r="F33" t="inlineStr">
        <is>
          <t>VÄSTRA GÖTALANDS LÄN</t>
        </is>
      </c>
      <c r="G33" t="inlineStr">
        <is>
          <t>SKARA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46307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46307</v>
      </c>
      <c r="F35" t="inlineStr">
        <is>
          <t>VÄSTRA GÖTALANDS LÄN</t>
        </is>
      </c>
      <c r="G35" t="inlineStr">
        <is>
          <t>SKARA</t>
        </is>
      </c>
      <c r="I35" t="n">
        <v>21.6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45224</v>
      </c>
      <c r="E36" s="1" t="n">
        <v>46307</v>
      </c>
      <c r="F36" t="inlineStr">
        <is>
          <t>VÄSTRA GÖTALANDS LÄN</t>
        </is>
      </c>
      <c r="G36" t="inlineStr">
        <is>
          <t>SKARA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46307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46307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46307</v>
      </c>
      <c r="F39" t="inlineStr">
        <is>
          <t>VÄSTRA GÖTALANDS LÄN</t>
        </is>
      </c>
      <c r="G39" t="inlineStr">
        <is>
          <t>SKARA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46307</v>
      </c>
      <c r="F40" t="inlineStr">
        <is>
          <t>VÄSTRA GÖTALANDS LÄN</t>
        </is>
      </c>
      <c r="G40" t="inlineStr">
        <is>
          <t>SKARA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46307</v>
      </c>
      <c r="F41" t="inlineStr">
        <is>
          <t>VÄSTRA GÖTALANDS LÄN</t>
        </is>
      </c>
      <c r="G41" t="inlineStr">
        <is>
          <t>SKARA</t>
        </is>
      </c>
      <c r="I41" t="n">
        <v>7.6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46307</v>
      </c>
      <c r="F42" t="inlineStr">
        <is>
          <t>VÄSTRA GÖTALANDS LÄN</t>
        </is>
      </c>
      <c r="G42" t="inlineStr">
        <is>
          <t>SKARA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36041-2023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45149</v>
      </c>
      <c r="E43" s="1" t="n">
        <v>46307</v>
      </c>
      <c r="F43" t="inlineStr">
        <is>
          <t>VÄSTRA GÖTALANDS LÄN</t>
        </is>
      </c>
      <c r="G43" t="inlineStr">
        <is>
          <t>SKARA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36045-2023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45149</v>
      </c>
      <c r="E44" s="1" t="n">
        <v>46307</v>
      </c>
      <c r="F44" t="inlineStr">
        <is>
          <t>VÄSTRA GÖTALANDS LÄN</t>
        </is>
      </c>
      <c r="G44" t="inlineStr">
        <is>
          <t>SKARA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46307</v>
      </c>
      <c r="F45" t="inlineStr">
        <is>
          <t>VÄSTRA GÖTALANDS LÄN</t>
        </is>
      </c>
      <c r="G45" t="inlineStr">
        <is>
          <t>SKARA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44860</v>
      </c>
      <c r="E46" s="1" t="n">
        <v>46307</v>
      </c>
      <c r="F46" t="inlineStr">
        <is>
          <t>VÄSTRA GÖTALANDS LÄN</t>
        </is>
      </c>
      <c r="G46" t="inlineStr">
        <is>
          <t>SKARA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45621</v>
      </c>
      <c r="E47" s="1" t="n">
        <v>46307</v>
      </c>
      <c r="F47" t="inlineStr">
        <is>
          <t>VÄSTRA GÖTALANDS LÄN</t>
        </is>
      </c>
      <c r="G47" t="inlineStr">
        <is>
          <t>SKARA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55211-2024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46307</v>
      </c>
      <c r="F48" t="inlineStr">
        <is>
          <t>VÄSTRA GÖTALANDS LÄN</t>
        </is>
      </c>
      <c r="G48" t="inlineStr">
        <is>
          <t>SKARA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30019-2023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45109</v>
      </c>
      <c r="E49" s="1" t="n">
        <v>46307</v>
      </c>
      <c r="F49" t="inlineStr">
        <is>
          <t>VÄSTRA GÖTALANDS LÄN</t>
        </is>
      </c>
      <c r="G49" t="inlineStr">
        <is>
          <t>SKARA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46307</v>
      </c>
      <c r="F50" t="inlineStr">
        <is>
          <t>VÄSTRA GÖTALANDS LÄN</t>
        </is>
      </c>
      <c r="G50" t="inlineStr">
        <is>
          <t>SKARA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46307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46307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45398</v>
      </c>
      <c r="E53" s="1" t="n">
        <v>46307</v>
      </c>
      <c r="F53" t="inlineStr">
        <is>
          <t>VÄSTRA GÖTALANDS LÄN</t>
        </is>
      </c>
      <c r="G53" t="inlineStr">
        <is>
          <t>SKARA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44856</v>
      </c>
      <c r="E54" s="1" t="n">
        <v>46307</v>
      </c>
      <c r="F54" t="inlineStr">
        <is>
          <t>VÄSTRA GÖTALANDS LÄN</t>
        </is>
      </c>
      <c r="G54" t="inlineStr">
        <is>
          <t>SKARA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46307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45299</v>
      </c>
      <c r="E56" s="1" t="n">
        <v>46307</v>
      </c>
      <c r="F56" t="inlineStr">
        <is>
          <t>VÄSTRA GÖTALANDS LÄN</t>
        </is>
      </c>
      <c r="G56" t="inlineStr">
        <is>
          <t>SKARA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46307</v>
      </c>
      <c r="F57" t="inlineStr">
        <is>
          <t>VÄSTRA GÖTALANDS LÄN</t>
        </is>
      </c>
      <c r="G57" t="inlineStr">
        <is>
          <t>SKARA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46307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46307</v>
      </c>
      <c r="F59" t="inlineStr">
        <is>
          <t>VÄSTRA GÖTALANDS LÄN</t>
        </is>
      </c>
      <c r="G59" t="inlineStr">
        <is>
          <t>SKARA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46307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46307</v>
      </c>
      <c r="F61" t="inlineStr">
        <is>
          <t>VÄSTRA GÖTALANDS LÄN</t>
        </is>
      </c>
      <c r="G61" t="inlineStr">
        <is>
          <t>SKARA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46307</v>
      </c>
      <c r="F62" t="inlineStr">
        <is>
          <t>VÄSTRA GÖTALANDS LÄN</t>
        </is>
      </c>
      <c r="G62" t="inlineStr">
        <is>
          <t>SKARA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46307</v>
      </c>
      <c r="F63" t="inlineStr">
        <is>
          <t>VÄSTRA GÖTALANDS LÄN</t>
        </is>
      </c>
      <c r="G63" t="inlineStr">
        <is>
          <t>SKARA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29255-2025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46307</v>
      </c>
      <c r="F64" t="inlineStr">
        <is>
          <t>VÄSTRA GÖTALANDS LÄN</t>
        </is>
      </c>
      <c r="G64" t="inlineStr">
        <is>
          <t>SKARA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46307</v>
      </c>
      <c r="F65" t="inlineStr">
        <is>
          <t>VÄSTRA GÖTALANDS LÄN</t>
        </is>
      </c>
      <c r="G65" t="inlineStr">
        <is>
          <t>SKARA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8701-2023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44978</v>
      </c>
      <c r="E66" s="1" t="n">
        <v>46307</v>
      </c>
      <c r="F66" t="inlineStr">
        <is>
          <t>VÄSTRA GÖTALANDS LÄN</t>
        </is>
      </c>
      <c r="G66" t="inlineStr">
        <is>
          <t>SKARA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46307</v>
      </c>
      <c r="F67" t="inlineStr">
        <is>
          <t>VÄSTRA GÖTALANDS LÄN</t>
        </is>
      </c>
      <c r="G67" t="inlineStr">
        <is>
          <t>SKARA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46307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46307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46307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46307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45469</v>
      </c>
      <c r="E72" s="1" t="n">
        <v>46307</v>
      </c>
      <c r="F72" t="inlineStr">
        <is>
          <t>VÄSTRA GÖTALANDS LÄN</t>
        </is>
      </c>
      <c r="G72" t="inlineStr">
        <is>
          <t>SKARA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46307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46307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45313</v>
      </c>
      <c r="E75" s="1" t="n">
        <v>46307</v>
      </c>
      <c r="F75" t="inlineStr">
        <is>
          <t>VÄSTRA GÖTALANDS LÄN</t>
        </is>
      </c>
      <c r="G75" t="inlineStr">
        <is>
          <t>SKARA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46307</v>
      </c>
      <c r="F76" t="inlineStr">
        <is>
          <t>VÄSTRA GÖTALANDS LÄN</t>
        </is>
      </c>
      <c r="G76" t="inlineStr">
        <is>
          <t>SKARA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45492</v>
      </c>
      <c r="E77" s="1" t="n">
        <v>46307</v>
      </c>
      <c r="F77" t="inlineStr">
        <is>
          <t>VÄSTRA GÖTALANDS LÄN</t>
        </is>
      </c>
      <c r="G77" t="inlineStr">
        <is>
          <t>SKARA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46307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46307</v>
      </c>
      <c r="F79" t="inlineStr">
        <is>
          <t>VÄSTRA GÖTALANDS LÄN</t>
        </is>
      </c>
      <c r="G79" t="inlineStr">
        <is>
          <t>SKARA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45639</v>
      </c>
      <c r="E80" s="1" t="n">
        <v>46307</v>
      </c>
      <c r="F80" t="inlineStr">
        <is>
          <t>VÄSTRA GÖTALANDS LÄN</t>
        </is>
      </c>
      <c r="G80" t="inlineStr">
        <is>
          <t>SKARA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44587</v>
      </c>
      <c r="E81" s="1" t="n">
        <v>46307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46307</v>
      </c>
      <c r="F82" t="inlineStr">
        <is>
          <t>VÄSTRA GÖTALANDS LÄN</t>
        </is>
      </c>
      <c r="G82" t="inlineStr">
        <is>
          <t>SKARA</t>
        </is>
      </c>
      <c r="H82" t="inlineStr">
        <is>
          <t>Kommuner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46307</v>
      </c>
      <c r="F83" t="inlineStr">
        <is>
          <t>VÄSTRA GÖTALANDS LÄN</t>
        </is>
      </c>
      <c r="G83" t="inlineStr">
        <is>
          <t>SKARA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45022</v>
      </c>
      <c r="E84" s="1" t="n">
        <v>46307</v>
      </c>
      <c r="F84" t="inlineStr">
        <is>
          <t>VÄSTRA GÖTALANDS LÄN</t>
        </is>
      </c>
      <c r="G84" t="inlineStr">
        <is>
          <t>SKARA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25153-2024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45462</v>
      </c>
      <c r="E85" s="1" t="n">
        <v>46307</v>
      </c>
      <c r="F85" t="inlineStr">
        <is>
          <t>VÄSTRA GÖTALANDS LÄN</t>
        </is>
      </c>
      <c r="G85" t="inlineStr">
        <is>
          <t>SKARA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46307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46307</v>
      </c>
      <c r="F87" t="inlineStr">
        <is>
          <t>VÄSTRA GÖTALANDS LÄN</t>
        </is>
      </c>
      <c r="G87" t="inlineStr">
        <is>
          <t>SKARA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45595</v>
      </c>
      <c r="E88" s="1" t="n">
        <v>46307</v>
      </c>
      <c r="F88" t="inlineStr">
        <is>
          <t>VÄSTRA GÖTALANDS LÄN</t>
        </is>
      </c>
      <c r="G88" t="inlineStr">
        <is>
          <t>SKARA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46307</v>
      </c>
      <c r="F89" t="inlineStr">
        <is>
          <t>VÄSTRA GÖTALANDS LÄN</t>
        </is>
      </c>
      <c r="G89" t="inlineStr">
        <is>
          <t>SKARA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46307</v>
      </c>
      <c r="F90" t="inlineStr">
        <is>
          <t>VÄSTRA GÖTALANDS LÄN</t>
        </is>
      </c>
      <c r="G90" t="inlineStr">
        <is>
          <t>SKARA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46307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45924</v>
      </c>
      <c r="E92" s="1" t="n">
        <v>46307</v>
      </c>
      <c r="F92" t="inlineStr">
        <is>
          <t>VÄSTRA GÖTALANDS LÄN</t>
        </is>
      </c>
      <c r="G92" t="inlineStr">
        <is>
          <t>SKARA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46307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46307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46307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47010-2025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46307</v>
      </c>
      <c r="F96" t="inlineStr">
        <is>
          <t>VÄSTRA GÖTALANDS LÄN</t>
        </is>
      </c>
      <c r="G96" t="inlineStr">
        <is>
          <t>SKARA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44973</v>
      </c>
      <c r="E97" s="1" t="n">
        <v>46307</v>
      </c>
      <c r="F97" t="inlineStr">
        <is>
          <t>VÄSTRA GÖTALANDS LÄN</t>
        </is>
      </c>
      <c r="G97" t="inlineStr">
        <is>
          <t>SKARA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9117-2025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45713</v>
      </c>
      <c r="E98" s="1" t="n">
        <v>46307</v>
      </c>
      <c r="F98" t="inlineStr">
        <is>
          <t>VÄSTRA GÖTALANDS LÄN</t>
        </is>
      </c>
      <c r="G98" t="inlineStr">
        <is>
          <t>SKARA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46307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25219-2025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45800</v>
      </c>
      <c r="E100" s="1" t="n">
        <v>46307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46307</v>
      </c>
      <c r="F101" t="inlineStr">
        <is>
          <t>VÄSTRA GÖTALANDS LÄN</t>
        </is>
      </c>
      <c r="G101" t="inlineStr">
        <is>
          <t>SKARA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46307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45554</v>
      </c>
      <c r="E103" s="1" t="n">
        <v>46307</v>
      </c>
      <c r="F103" t="inlineStr">
        <is>
          <t>VÄSTRA GÖTALANDS LÄN</t>
        </is>
      </c>
      <c r="G103" t="inlineStr">
        <is>
          <t>SKARA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46307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46307</v>
      </c>
      <c r="F105" t="inlineStr">
        <is>
          <t>VÄSTRA GÖTALANDS LÄN</t>
        </is>
      </c>
      <c r="G105" t="inlineStr">
        <is>
          <t>SKARA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46307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56849-2022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44894</v>
      </c>
      <c r="E107" s="1" t="n">
        <v>46307</v>
      </c>
      <c r="F107" t="inlineStr">
        <is>
          <t>VÄSTRA GÖTALANDS LÄN</t>
        </is>
      </c>
      <c r="G107" t="inlineStr">
        <is>
          <t>SKARA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46307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46307</v>
      </c>
      <c r="F109" t="inlineStr">
        <is>
          <t>VÄSTRA GÖTALANDS LÄN</t>
        </is>
      </c>
      <c r="G109" t="inlineStr">
        <is>
          <t>SKARA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46307</v>
      </c>
      <c r="F110" t="inlineStr">
        <is>
          <t>VÄSTRA GÖTALANDS LÄN</t>
        </is>
      </c>
      <c r="G110" t="inlineStr">
        <is>
          <t>SKARA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44946</v>
      </c>
      <c r="E111" s="1" t="n">
        <v>46307</v>
      </c>
      <c r="F111" t="inlineStr">
        <is>
          <t>VÄSTRA GÖTALANDS LÄN</t>
        </is>
      </c>
      <c r="G111" t="inlineStr">
        <is>
          <t>SKARA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46307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46307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46307</v>
      </c>
      <c r="F114" t="inlineStr">
        <is>
          <t>VÄSTRA GÖTALANDS LÄN</t>
        </is>
      </c>
      <c r="G114" t="inlineStr">
        <is>
          <t>SKARA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46307</v>
      </c>
      <c r="F115" t="inlineStr">
        <is>
          <t>VÄSTRA GÖTALANDS LÄN</t>
        </is>
      </c>
      <c r="G115" t="inlineStr">
        <is>
          <t>SKARA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46307</v>
      </c>
      <c r="F116" t="inlineStr">
        <is>
          <t>VÄSTRA GÖTALANDS LÄN</t>
        </is>
      </c>
      <c r="G116" t="inlineStr">
        <is>
          <t>SKARA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46307</v>
      </c>
      <c r="F117" t="inlineStr">
        <is>
          <t>VÄSTRA GÖTALANDS LÄN</t>
        </is>
      </c>
      <c r="G117" t="inlineStr">
        <is>
          <t>SKARA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46307</v>
      </c>
      <c r="F118" t="inlineStr">
        <is>
          <t>VÄSTRA GÖTALANDS LÄN</t>
        </is>
      </c>
      <c r="G118" t="inlineStr">
        <is>
          <t>SKARA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46307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44970</v>
      </c>
      <c r="E120" s="1" t="n">
        <v>46307</v>
      </c>
      <c r="F120" t="inlineStr">
        <is>
          <t>VÄSTRA GÖTALANDS LÄN</t>
        </is>
      </c>
      <c r="G120" t="inlineStr">
        <is>
          <t>SKARA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46307</v>
      </c>
      <c r="F121" t="inlineStr">
        <is>
          <t>VÄSTRA GÖTALANDS LÄN</t>
        </is>
      </c>
      <c r="G121" t="inlineStr">
        <is>
          <t>SKARA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46307</v>
      </c>
      <c r="F122" t="inlineStr">
        <is>
          <t>VÄSTRA GÖTALANDS LÄN</t>
        </is>
      </c>
      <c r="G122" t="inlineStr">
        <is>
          <t>SKARA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46307</v>
      </c>
      <c r="F123" t="inlineStr">
        <is>
          <t>VÄSTRA GÖTALANDS LÄN</t>
        </is>
      </c>
      <c r="G123" t="inlineStr">
        <is>
          <t>SKARA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46307</v>
      </c>
      <c r="F124" t="inlineStr">
        <is>
          <t>VÄSTRA GÖTALANDS LÄN</t>
        </is>
      </c>
      <c r="G124" t="inlineStr">
        <is>
          <t>SKARA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46307</v>
      </c>
      <c r="F125" t="inlineStr">
        <is>
          <t>VÄSTRA GÖTALANDS LÄN</t>
        </is>
      </c>
      <c r="G125" t="inlineStr">
        <is>
          <t>SKARA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45514</v>
      </c>
      <c r="E126" s="1" t="n">
        <v>46307</v>
      </c>
      <c r="F126" t="inlineStr">
        <is>
          <t>VÄSTRA GÖTALANDS LÄN</t>
        </is>
      </c>
      <c r="G126" t="inlineStr">
        <is>
          <t>SKARA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45840</v>
      </c>
      <c r="E127" s="1" t="n">
        <v>46307</v>
      </c>
      <c r="F127" t="inlineStr">
        <is>
          <t>VÄSTRA GÖTALANDS LÄN</t>
        </is>
      </c>
      <c r="G127" t="inlineStr">
        <is>
          <t>SKARA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46307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56274-2025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46307</v>
      </c>
      <c r="F129" t="inlineStr">
        <is>
          <t>VÄSTRA GÖTALANDS LÄN</t>
        </is>
      </c>
      <c r="G129" t="inlineStr">
        <is>
          <t>SKARA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46307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45776</v>
      </c>
      <c r="E131" s="1" t="n">
        <v>46307</v>
      </c>
      <c r="F131" t="inlineStr">
        <is>
          <t>VÄSTRA GÖTALANDS LÄN</t>
        </is>
      </c>
      <c r="G131" t="inlineStr">
        <is>
          <t>SKARA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46307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Kommuner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60233-2023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45258</v>
      </c>
      <c r="E133" s="1" t="n">
        <v>46307</v>
      </c>
      <c r="F133" t="inlineStr">
        <is>
          <t>VÄSTRA GÖTALANDS LÄN</t>
        </is>
      </c>
      <c r="G133" t="inlineStr">
        <is>
          <t>SKARA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46307</v>
      </c>
      <c r="F134" t="inlineStr">
        <is>
          <t>VÄSTRA GÖTALANDS LÄN</t>
        </is>
      </c>
      <c r="G134" t="inlineStr">
        <is>
          <t>SKARA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46307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44990</v>
      </c>
      <c r="E136" s="1" t="n">
        <v>46307</v>
      </c>
      <c r="F136" t="inlineStr">
        <is>
          <t>VÄSTRA GÖTALANDS LÄN</t>
        </is>
      </c>
      <c r="G136" t="inlineStr">
        <is>
          <t>SKARA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46307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42874-2022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44832</v>
      </c>
      <c r="E138" s="1" t="n">
        <v>46307</v>
      </c>
      <c r="F138" t="inlineStr">
        <is>
          <t>VÄSTRA GÖTALANDS LÄN</t>
        </is>
      </c>
      <c r="G138" t="inlineStr">
        <is>
          <t>SKARA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46307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46307</v>
      </c>
      <c r="F140" t="inlineStr">
        <is>
          <t>VÄSTRA GÖTALANDS LÄN</t>
        </is>
      </c>
      <c r="G140" t="inlineStr">
        <is>
          <t>SKARA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46307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46307</v>
      </c>
      <c r="F142" t="inlineStr">
        <is>
          <t>VÄSTRA GÖTALANDS LÄN</t>
        </is>
      </c>
      <c r="G142" t="inlineStr">
        <is>
          <t>SKARA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46307</v>
      </c>
      <c r="F143" t="inlineStr">
        <is>
          <t>VÄSTRA GÖTALANDS LÄN</t>
        </is>
      </c>
      <c r="G143" t="inlineStr">
        <is>
          <t>SKARA</t>
        </is>
      </c>
      <c r="H143" t="inlineStr">
        <is>
          <t>Sveaskog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46307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46307</v>
      </c>
      <c r="F145" t="inlineStr">
        <is>
          <t>VÄSTRA GÖTALANDS LÄN</t>
        </is>
      </c>
      <c r="G145" t="inlineStr">
        <is>
          <t>SKARA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46307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46307</v>
      </c>
      <c r="F147" t="inlineStr">
        <is>
          <t>VÄSTRA GÖTALANDS LÄN</t>
        </is>
      </c>
      <c r="G147" t="inlineStr">
        <is>
          <t>SKARA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46307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46307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46307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46307</v>
      </c>
      <c r="F151" t="inlineStr">
        <is>
          <t>VÄSTRA GÖTALANDS LÄN</t>
        </is>
      </c>
      <c r="G151" t="inlineStr">
        <is>
          <t>SKARA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46307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46307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46307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46307</v>
      </c>
      <c r="F155" t="inlineStr">
        <is>
          <t>VÄSTRA GÖTALANDS LÄN</t>
        </is>
      </c>
      <c r="G155" t="inlineStr">
        <is>
          <t>SKARA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46307</v>
      </c>
      <c r="F156" t="inlineStr">
        <is>
          <t>VÄSTRA GÖTALANDS LÄN</t>
        </is>
      </c>
      <c r="G156" t="inlineStr">
        <is>
          <t>SKARA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46307</v>
      </c>
      <c r="F157" t="inlineStr">
        <is>
          <t>VÄSTRA GÖTALANDS LÄN</t>
        </is>
      </c>
      <c r="G157" t="inlineStr">
        <is>
          <t>SKARA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46307</v>
      </c>
      <c r="F158" t="inlineStr">
        <is>
          <t>VÄSTRA GÖTALANDS LÄN</t>
        </is>
      </c>
      <c r="G158" t="inlineStr">
        <is>
          <t>SKARA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45492</v>
      </c>
      <c r="E159" s="1" t="n">
        <v>46307</v>
      </c>
      <c r="F159" t="inlineStr">
        <is>
          <t>VÄSTRA GÖTALANDS LÄN</t>
        </is>
      </c>
      <c r="G159" t="inlineStr">
        <is>
          <t>SKARA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46307</v>
      </c>
      <c r="F160" t="inlineStr">
        <is>
          <t>VÄSTRA GÖTALANDS LÄN</t>
        </is>
      </c>
      <c r="G160" t="inlineStr">
        <is>
          <t>SKARA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46307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46307</v>
      </c>
      <c r="F162" t="inlineStr">
        <is>
          <t>VÄSTRA GÖTALANDS LÄN</t>
        </is>
      </c>
      <c r="G162" t="inlineStr">
        <is>
          <t>SKARA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46307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46307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46307</v>
      </c>
      <c r="F165" t="inlineStr">
        <is>
          <t>VÄSTRA GÖTALANDS LÄN</t>
        </is>
      </c>
      <c r="G165" t="inlineStr">
        <is>
          <t>SKARA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46307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46307</v>
      </c>
      <c r="F167" t="inlineStr">
        <is>
          <t>VÄSTRA GÖTALANDS LÄN</t>
        </is>
      </c>
      <c r="G167" t="inlineStr">
        <is>
          <t>SKARA</t>
        </is>
      </c>
      <c r="I167" t="n">
        <v>13.5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46307</v>
      </c>
      <c r="F168" t="inlineStr">
        <is>
          <t>VÄSTRA GÖTALANDS LÄN</t>
        </is>
      </c>
      <c r="G168" t="inlineStr">
        <is>
          <t>SKARA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46307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46307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46307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46307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64551-2023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46307</v>
      </c>
      <c r="F173" t="inlineStr">
        <is>
          <t>VÄSTRA GÖTALANDS LÄN</t>
        </is>
      </c>
      <c r="G173" t="inlineStr">
        <is>
          <t>SKARA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46307</v>
      </c>
      <c r="F174" t="inlineStr">
        <is>
          <t>VÄSTRA GÖTALANDS LÄN</t>
        </is>
      </c>
      <c r="G174" t="inlineStr">
        <is>
          <t>SKARA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46307</v>
      </c>
      <c r="F175" t="inlineStr">
        <is>
          <t>VÄSTRA GÖTALANDS LÄN</t>
        </is>
      </c>
      <c r="G175" t="inlineStr">
        <is>
          <t>SKARA</t>
        </is>
      </c>
      <c r="H175" t="inlineStr">
        <is>
          <t>Kyrkan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46307</v>
      </c>
      <c r="F176" t="inlineStr">
        <is>
          <t>VÄSTRA GÖTALANDS LÄN</t>
        </is>
      </c>
      <c r="G176" t="inlineStr">
        <is>
          <t>SKARA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46307</v>
      </c>
      <c r="F177" t="inlineStr">
        <is>
          <t>VÄSTRA GÖTALANDS LÄN</t>
        </is>
      </c>
      <c r="G177" t="inlineStr">
        <is>
          <t>SKARA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46307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46307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46307</v>
      </c>
      <c r="F180" t="inlineStr">
        <is>
          <t>VÄSTRA GÖTALANDS LÄN</t>
        </is>
      </c>
      <c r="G180" t="inlineStr">
        <is>
          <t>SKARA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46307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46307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46307</v>
      </c>
      <c r="F183" t="inlineStr">
        <is>
          <t>VÄSTRA GÖTALANDS LÄN</t>
        </is>
      </c>
      <c r="G183" t="inlineStr">
        <is>
          <t>SKARA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46307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46307</v>
      </c>
      <c r="F185" t="inlineStr">
        <is>
          <t>VÄSTRA GÖTALANDS LÄN</t>
        </is>
      </c>
      <c r="G185" t="inlineStr">
        <is>
          <t>SKARA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44642</v>
      </c>
      <c r="E186" s="1" t="n">
        <v>46307</v>
      </c>
      <c r="F186" t="inlineStr">
        <is>
          <t>VÄSTRA GÖTALANDS LÄN</t>
        </is>
      </c>
      <c r="G186" t="inlineStr">
        <is>
          <t>SKARA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46307</v>
      </c>
      <c r="F187" t="inlineStr">
        <is>
          <t>VÄSTRA GÖTALANDS LÄN</t>
        </is>
      </c>
      <c r="G187" t="inlineStr">
        <is>
          <t>SKARA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46307</v>
      </c>
      <c r="F188" t="inlineStr">
        <is>
          <t>VÄSTRA GÖTALANDS LÄN</t>
        </is>
      </c>
      <c r="G188" t="inlineStr">
        <is>
          <t>SKARA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46307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46072</v>
      </c>
      <c r="E190" s="1" t="n">
        <v>46307</v>
      </c>
      <c r="F190" t="inlineStr">
        <is>
          <t>VÄSTRA GÖTALANDS LÄN</t>
        </is>
      </c>
      <c r="G190" t="inlineStr">
        <is>
          <t>SKARA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12332-2026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46087</v>
      </c>
      <c r="E191" s="1" t="n">
        <v>46307</v>
      </c>
      <c r="F191" t="inlineStr">
        <is>
          <t>VÄSTRA GÖTALANDS LÄN</t>
        </is>
      </c>
      <c r="G191" t="inlineStr">
        <is>
          <t>SKARA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46307</v>
      </c>
      <c r="F192" t="inlineStr">
        <is>
          <t>VÄSTRA GÖTALANDS LÄN</t>
        </is>
      </c>
      <c r="G192" t="inlineStr">
        <is>
          <t>SKARA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46307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46307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46307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24142-2026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46307</v>
      </c>
      <c r="F196" t="inlineStr">
        <is>
          <t>VÄSTRA GÖTALANDS LÄN</t>
        </is>
      </c>
      <c r="G196" t="inlineStr">
        <is>
          <t>SKARA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46307</v>
      </c>
      <c r="F197" t="inlineStr">
        <is>
          <t>VÄSTRA GÖTALANDS LÄN</t>
        </is>
      </c>
      <c r="G197" t="inlineStr">
        <is>
          <t>SKARA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46307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46307</v>
      </c>
      <c r="F199" t="inlineStr">
        <is>
          <t>VÄSTRA GÖTALANDS LÄN</t>
        </is>
      </c>
      <c r="G199" t="inlineStr">
        <is>
          <t>SKARA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27478-2026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46189</v>
      </c>
      <c r="E200" s="1" t="n">
        <v>46307</v>
      </c>
      <c r="F200" t="inlineStr">
        <is>
          <t>VÄSTRA GÖTALANDS LÄN</t>
        </is>
      </c>
      <c r="G200" t="inlineStr">
        <is>
          <t>SKARA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46307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Kyrkan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46307</v>
      </c>
      <c r="F202" t="inlineStr">
        <is>
          <t>VÄSTRA GÖTALANDS LÄN</t>
        </is>
      </c>
      <c r="G202" t="inlineStr">
        <is>
          <t>SKARA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46280</v>
      </c>
      <c r="E203" s="1" t="n">
        <v>46307</v>
      </c>
      <c r="F203" t="inlineStr">
        <is>
          <t>VÄSTRA GÖTALANDS LÄN</t>
        </is>
      </c>
      <c r="G203" t="inlineStr">
        <is>
          <t>SKARA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46288</v>
      </c>
      <c r="E204" s="1" t="n">
        <v>46307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46288</v>
      </c>
      <c r="E205" s="1" t="n">
        <v>46307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46307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46246</v>
      </c>
      <c r="E207" s="1" t="n">
        <v>46307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46247</v>
      </c>
      <c r="E208" s="1" t="n">
        <v>46307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46307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46294</v>
      </c>
      <c r="E210" s="1" t="n">
        <v>46307</v>
      </c>
      <c r="F210" t="inlineStr">
        <is>
          <t>VÄSTRA GÖTALANDS LÄN</t>
        </is>
      </c>
      <c r="G210" t="inlineStr">
        <is>
          <t>SKARA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46294</v>
      </c>
      <c r="E211" s="1" t="n">
        <v>46307</v>
      </c>
      <c r="F211" t="inlineStr">
        <is>
          <t>VÄSTRA GÖTALANDS LÄN</t>
        </is>
      </c>
      <c r="G211" t="inlineStr">
        <is>
          <t>SKARA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46307</v>
      </c>
      <c r="F212" t="inlineStr">
        <is>
          <t>VÄSTRA GÖTALANDS LÄN</t>
        </is>
      </c>
      <c r="G212" t="inlineStr">
        <is>
          <t>SKARA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46307</v>
      </c>
      <c r="F213" t="inlineStr">
        <is>
          <t>VÄSTRA GÖTALANDS LÄN</t>
        </is>
      </c>
      <c r="G213" t="inlineStr">
        <is>
          <t>SKARA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46294</v>
      </c>
      <c r="E214" s="1" t="n">
        <v>46307</v>
      </c>
      <c r="F214" t="inlineStr">
        <is>
          <t>VÄSTRA GÖTALANDS LÄN</t>
        </is>
      </c>
      <c r="G214" t="inlineStr">
        <is>
          <t>SKARA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46307</v>
      </c>
      <c r="F215" t="inlineStr">
        <is>
          <t>VÄSTRA GÖTALANDS LÄN</t>
        </is>
      </c>
      <c r="G215" t="inlineStr">
        <is>
          <t>SKARA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46307</v>
      </c>
      <c r="F216" t="inlineStr">
        <is>
          <t>VÄSTRA GÖTALANDS LÄN</t>
        </is>
      </c>
      <c r="G216" t="inlineStr">
        <is>
          <t>SKARA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41260-2026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46300</v>
      </c>
      <c r="E217" s="1" t="n">
        <v>46307</v>
      </c>
      <c r="F217" t="inlineStr">
        <is>
          <t>VÄSTRA GÖTALANDS LÄN</t>
        </is>
      </c>
      <c r="G217" t="inlineStr">
        <is>
          <t>SKARA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46307</v>
      </c>
      <c r="F218" t="inlineStr">
        <is>
          <t>VÄSTRA GÖTALANDS LÄN</t>
        </is>
      </c>
      <c r="G218" t="inlineStr">
        <is>
          <t>SKARA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46281</v>
      </c>
      <c r="E219" s="1" t="n">
        <v>46307</v>
      </c>
      <c r="F219" t="inlineStr">
        <is>
          <t>VÄSTRA GÖTALANDS LÄN</t>
        </is>
      </c>
      <c r="G219" t="inlineStr">
        <is>
          <t>SKARA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46307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46307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46307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2026-10-12T02:00:31Z</dcterms:created>
  <dcterms:modified xmlns:dcterms="http://purl.org/dc/terms/" xmlns:xsi="http://www.w3.org/2001/XMLSchema-instance" xsi:type="dcterms:W3CDTF">2026-10-12T02:00:32Z</dcterms:modified>
</cp:coreProperties>
</file>