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46279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46279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46279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46279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46279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46279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46279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46279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46279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31736-2026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46227</v>
      </c>
      <c r="E20" s="1" t="n">
        <v>46279</v>
      </c>
      <c r="F20" t="inlineStr">
        <is>
          <t>VÄSTRA GÖTALANDS LÄN</t>
        </is>
      </c>
      <c r="G20" t="inlineStr">
        <is>
          <t>SKARA</t>
        </is>
      </c>
      <c r="I20" t="n">
        <v>2.2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Dvärghäxört</t>
        </is>
      </c>
      <c r="W20">
        <f>HYPERLINK("https://klasma.github.io/Logging_1495/artfynd/A 31736-2026 artfynd.xlsx", "A 31736-2026")</f>
        <v/>
      </c>
      <c r="X20">
        <f>HYPERLINK("https://klasma.github.io/Logging_1495/kartor/A 31736-2026 karta.png", "A 31736-2026")</f>
        <v/>
      </c>
      <c r="Y20">
        <f>HYPERLINK("https://klasma.github.io/Logging_1495/kartor_geotiff/A 31736-2026 georefererad karta.tif", "A 31736-2026")</f>
        <v/>
      </c>
      <c r="AA20">
        <f>HYPERLINK("https://klasma.github.io/Logging_1495/klagomål/A 31736-2026 FSC-klagomål.docx", "A 31736-2026")</f>
        <v/>
      </c>
      <c r="AB20">
        <f>HYPERLINK("https://klasma.github.io/Logging_1495/klagomålsmail/A 31736-2026 FSC-klagomål mail.docx", "A 31736-2026")</f>
        <v/>
      </c>
      <c r="AC20">
        <f>HYPERLINK("https://klasma.github.io/Logging_1495/tillsyn/A 31736-2026 tillsynsbegäran.docx", "A 31736-2026")</f>
        <v/>
      </c>
      <c r="AD20">
        <f>HYPERLINK("https://klasma.github.io/Logging_1495/tillsynsmail/A 31736-2026 tillsynsbegäran mail.docx", "A 31736-2026")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46279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46279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46279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46279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46279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46279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46279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46279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46279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46279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46279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46279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46279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46279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46279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46279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46279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46279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46279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46279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46279</v>
      </c>
      <c r="F41" t="inlineStr">
        <is>
          <t>VÄSTRA GÖTALANDS LÄN</t>
        </is>
      </c>
      <c r="G41" t="inlineStr">
        <is>
          <t>SKARA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14844-2024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46279</v>
      </c>
      <c r="F42" t="inlineStr">
        <is>
          <t>VÄSTRA GÖTALANDS LÄN</t>
        </is>
      </c>
      <c r="G42" t="inlineStr">
        <is>
          <t>SKARA</t>
        </is>
      </c>
      <c r="H42" t="inlineStr">
        <is>
          <t>Kommuner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48098-2022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44856</v>
      </c>
      <c r="E43" s="1" t="n">
        <v>46279</v>
      </c>
      <c r="F43" t="inlineStr">
        <is>
          <t>VÄSTRA GÖTALANDS LÄN</t>
        </is>
      </c>
      <c r="G43" t="inlineStr">
        <is>
          <t>SKARA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46279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46279</v>
      </c>
      <c r="F45" t="inlineStr">
        <is>
          <t>VÄSTRA GÖTALANDS LÄN</t>
        </is>
      </c>
      <c r="G45" t="inlineStr">
        <is>
          <t>SKARA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45288</v>
      </c>
      <c r="E46" s="1" t="n">
        <v>46279</v>
      </c>
      <c r="F46" t="inlineStr">
        <is>
          <t>VÄSTRA GÖTALANDS LÄN</t>
        </is>
      </c>
      <c r="G46" t="inlineStr">
        <is>
          <t>SKARA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46279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46279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46279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46279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46279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44587</v>
      </c>
      <c r="E52" s="1" t="n">
        <v>46279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46279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44946</v>
      </c>
      <c r="E54" s="1" t="n">
        <v>46279</v>
      </c>
      <c r="F54" t="inlineStr">
        <is>
          <t>VÄSTRA GÖTALANDS LÄN</t>
        </is>
      </c>
      <c r="G54" t="inlineStr">
        <is>
          <t>SKARA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46279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46279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46279</v>
      </c>
      <c r="F57" t="inlineStr">
        <is>
          <t>VÄSTRA GÖTALANDS LÄN</t>
        </is>
      </c>
      <c r="G57" t="inlineStr">
        <is>
          <t>SKARA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46279</v>
      </c>
      <c r="F58" t="inlineStr">
        <is>
          <t>VÄSTRA GÖTALANDS LÄN</t>
        </is>
      </c>
      <c r="G58" t="inlineStr">
        <is>
          <t>SKARA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46279</v>
      </c>
      <c r="F59" t="inlineStr">
        <is>
          <t>VÄSTRA GÖTALANDS LÄN</t>
        </is>
      </c>
      <c r="G59" t="inlineStr">
        <is>
          <t>SKARA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46279</v>
      </c>
      <c r="F60" t="inlineStr">
        <is>
          <t>VÄSTRA GÖTALANDS LÄN</t>
        </is>
      </c>
      <c r="G60" t="inlineStr">
        <is>
          <t>SKARA</t>
        </is>
      </c>
      <c r="I60" t="n">
        <v>5.9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46279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46279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45839</v>
      </c>
      <c r="E63" s="1" t="n">
        <v>46279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45554</v>
      </c>
      <c r="E64" s="1" t="n">
        <v>46279</v>
      </c>
      <c r="F64" t="inlineStr">
        <is>
          <t>VÄSTRA GÖTALANDS LÄN</t>
        </is>
      </c>
      <c r="G64" t="inlineStr">
        <is>
          <t>SKARA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46279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46279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46279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46279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46279</v>
      </c>
      <c r="F69" t="inlineStr">
        <is>
          <t>VÄSTRA GÖTALANDS LÄN</t>
        </is>
      </c>
      <c r="G69" t="inlineStr">
        <is>
          <t>SKARA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46279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46279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46279</v>
      </c>
      <c r="F72" t="inlineStr">
        <is>
          <t>VÄSTRA GÖTALANDS LÄN</t>
        </is>
      </c>
      <c r="G72" t="inlineStr">
        <is>
          <t>SKARA</t>
        </is>
      </c>
      <c r="H72" t="inlineStr">
        <is>
          <t>Kommuner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45258</v>
      </c>
      <c r="E73" s="1" t="n">
        <v>46279</v>
      </c>
      <c r="F73" t="inlineStr">
        <is>
          <t>VÄSTRA GÖTALANDS LÄN</t>
        </is>
      </c>
      <c r="G73" t="inlineStr">
        <is>
          <t>SKARA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46279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46279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46279</v>
      </c>
      <c r="F76" t="inlineStr">
        <is>
          <t>VÄSTRA GÖTALANDS LÄN</t>
        </is>
      </c>
      <c r="G76" t="inlineStr">
        <is>
          <t>SKARA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46279</v>
      </c>
      <c r="F77" t="inlineStr">
        <is>
          <t>VÄSTRA GÖTALANDS LÄN</t>
        </is>
      </c>
      <c r="G77" t="inlineStr">
        <is>
          <t>SKARA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46279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46279</v>
      </c>
      <c r="F79" t="inlineStr">
        <is>
          <t>VÄSTRA GÖTALANDS LÄN</t>
        </is>
      </c>
      <c r="G79" t="inlineStr">
        <is>
          <t>SKARA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46279</v>
      </c>
      <c r="F80" t="inlineStr">
        <is>
          <t>VÄSTRA GÖTALANDS LÄN</t>
        </is>
      </c>
      <c r="G80" t="inlineStr">
        <is>
          <t>SKARA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46279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46279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46279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46279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46279</v>
      </c>
      <c r="F85" t="inlineStr">
        <is>
          <t>VÄSTRA GÖTALANDS LÄN</t>
        </is>
      </c>
      <c r="G85" t="inlineStr">
        <is>
          <t>SKARA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46279</v>
      </c>
      <c r="F86" t="inlineStr">
        <is>
          <t>VÄSTRA GÖTALANDS LÄN</t>
        </is>
      </c>
      <c r="G86" t="inlineStr">
        <is>
          <t>SKARA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46279</v>
      </c>
      <c r="F87" t="inlineStr">
        <is>
          <t>VÄSTRA GÖTALANDS LÄN</t>
        </is>
      </c>
      <c r="G87" t="inlineStr">
        <is>
          <t>SKARA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46279</v>
      </c>
      <c r="F88" t="inlineStr">
        <is>
          <t>VÄSTRA GÖTALANDS LÄN</t>
        </is>
      </c>
      <c r="G88" t="inlineStr">
        <is>
          <t>SKARA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32668-2024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45514</v>
      </c>
      <c r="E89" s="1" t="n">
        <v>46279</v>
      </c>
      <c r="F89" t="inlineStr">
        <is>
          <t>VÄSTRA GÖTALANDS LÄN</t>
        </is>
      </c>
      <c r="G89" t="inlineStr">
        <is>
          <t>SKARA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46279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12332-2026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46087</v>
      </c>
      <c r="E91" s="1" t="n">
        <v>46279</v>
      </c>
      <c r="F91" t="inlineStr">
        <is>
          <t>VÄSTRA GÖTALANDS LÄN</t>
        </is>
      </c>
      <c r="G91" t="inlineStr">
        <is>
          <t>SKARA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46279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46279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46279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46279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46279</v>
      </c>
      <c r="F96" t="inlineStr">
        <is>
          <t>VÄSTRA GÖTALANDS LÄN</t>
        </is>
      </c>
      <c r="G96" t="inlineStr">
        <is>
          <t>SKARA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46279</v>
      </c>
      <c r="F97" t="inlineStr">
        <is>
          <t>VÄSTRA GÖTALANDS LÄN</t>
        </is>
      </c>
      <c r="G97" t="inlineStr">
        <is>
          <t>SKARA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46279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46279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46279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44832</v>
      </c>
      <c r="E101" s="1" t="n">
        <v>46279</v>
      </c>
      <c r="F101" t="inlineStr">
        <is>
          <t>VÄSTRA GÖTALANDS LÄN</t>
        </is>
      </c>
      <c r="G101" t="inlineStr">
        <is>
          <t>SKARA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46279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46279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46279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46279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Kyrkan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46279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46279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46279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46279</v>
      </c>
      <c r="F109" t="inlineStr">
        <is>
          <t>VÄSTRA GÖTALANDS LÄN</t>
        </is>
      </c>
      <c r="G109" t="inlineStr">
        <is>
          <t>SKARA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16199-2026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46279</v>
      </c>
      <c r="F110" t="inlineStr">
        <is>
          <t>VÄSTRA GÖTALANDS LÄN</t>
        </is>
      </c>
      <c r="G110" t="inlineStr">
        <is>
          <t>SKARA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46279</v>
      </c>
      <c r="F111" t="inlineStr">
        <is>
          <t>VÄSTRA GÖTALANDS LÄN</t>
        </is>
      </c>
      <c r="G111" t="inlineStr">
        <is>
          <t>SKARA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46279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45288</v>
      </c>
      <c r="E113" s="1" t="n">
        <v>46279</v>
      </c>
      <c r="F113" t="inlineStr">
        <is>
          <t>VÄSTRA GÖTALANDS LÄN</t>
        </is>
      </c>
      <c r="G113" t="inlineStr">
        <is>
          <t>SKARA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46279</v>
      </c>
      <c r="F114" t="inlineStr">
        <is>
          <t>VÄSTRA GÖTALANDS LÄN</t>
        </is>
      </c>
      <c r="G114" t="inlineStr">
        <is>
          <t>SKARA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46113</v>
      </c>
      <c r="E115" s="1" t="n">
        <v>46279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46279</v>
      </c>
      <c r="F116" t="inlineStr">
        <is>
          <t>VÄSTRA GÖTALANDS LÄN</t>
        </is>
      </c>
      <c r="G116" t="inlineStr">
        <is>
          <t>SKARA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45043</v>
      </c>
      <c r="E117" s="1" t="n">
        <v>46279</v>
      </c>
      <c r="F117" t="inlineStr">
        <is>
          <t>VÄSTRA GÖTALANDS LÄN</t>
        </is>
      </c>
      <c r="G117" t="inlineStr">
        <is>
          <t>SKARA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56274-2025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46279</v>
      </c>
      <c r="F118" t="inlineStr">
        <is>
          <t>VÄSTRA GÖTALANDS LÄN</t>
        </is>
      </c>
      <c r="G118" t="inlineStr">
        <is>
          <t>SKARA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46279</v>
      </c>
      <c r="F119" t="inlineStr">
        <is>
          <t>VÄSTRA GÖTALANDS LÄN</t>
        </is>
      </c>
      <c r="G119" t="inlineStr">
        <is>
          <t>SKARA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46279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46279</v>
      </c>
      <c r="F121" t="inlineStr">
        <is>
          <t>VÄSTRA GÖTALANDS LÄN</t>
        </is>
      </c>
      <c r="G121" t="inlineStr">
        <is>
          <t>SKARA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45492</v>
      </c>
      <c r="E122" s="1" t="n">
        <v>46279</v>
      </c>
      <c r="F122" t="inlineStr">
        <is>
          <t>VÄSTRA GÖTALANDS LÄN</t>
        </is>
      </c>
      <c r="G122" t="inlineStr">
        <is>
          <t>SKARA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46279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44908</v>
      </c>
      <c r="E124" s="1" t="n">
        <v>46279</v>
      </c>
      <c r="F124" t="inlineStr">
        <is>
          <t>VÄSTRA GÖTALANDS LÄN</t>
        </is>
      </c>
      <c r="G124" t="inlineStr">
        <is>
          <t>SKARA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46279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46279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46279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46279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46279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Kyrkan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46279</v>
      </c>
      <c r="F130" t="inlineStr">
        <is>
          <t>VÄSTRA GÖTALANDS LÄN</t>
        </is>
      </c>
      <c r="G130" t="inlineStr">
        <is>
          <t>SKARA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46279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46279</v>
      </c>
      <c r="F132" t="inlineStr">
        <is>
          <t>VÄSTRA GÖTALANDS LÄN</t>
        </is>
      </c>
      <c r="G132" t="inlineStr">
        <is>
          <t>SKARA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46279</v>
      </c>
      <c r="F133" t="inlineStr">
        <is>
          <t>VÄSTRA GÖTALANDS LÄN</t>
        </is>
      </c>
      <c r="G133" t="inlineStr">
        <is>
          <t>SKARA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46279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46279</v>
      </c>
      <c r="F135" t="inlineStr">
        <is>
          <t>VÄSTRA GÖTALANDS LÄN</t>
        </is>
      </c>
      <c r="G135" t="inlineStr">
        <is>
          <t>SKARA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46279</v>
      </c>
      <c r="F136" t="inlineStr">
        <is>
          <t>VÄSTRA GÖTALANDS LÄN</t>
        </is>
      </c>
      <c r="G136" t="inlineStr">
        <is>
          <t>SKARA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46279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46279</v>
      </c>
      <c r="F138" t="inlineStr">
        <is>
          <t>VÄSTRA GÖTALANDS LÄN</t>
        </is>
      </c>
      <c r="G138" t="inlineStr">
        <is>
          <t>SKARA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45492</v>
      </c>
      <c r="E139" s="1" t="n">
        <v>46279</v>
      </c>
      <c r="F139" t="inlineStr">
        <is>
          <t>VÄSTRA GÖTALANDS LÄN</t>
        </is>
      </c>
      <c r="G139" t="inlineStr">
        <is>
          <t>SKARA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46279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46279</v>
      </c>
      <c r="F141" t="inlineStr">
        <is>
          <t>VÄSTRA GÖTALANDS LÄN</t>
        </is>
      </c>
      <c r="G141" t="inlineStr">
        <is>
          <t>SKARA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46279</v>
      </c>
      <c r="F142" t="inlineStr">
        <is>
          <t>VÄSTRA GÖTALANDS LÄN</t>
        </is>
      </c>
      <c r="G142" t="inlineStr">
        <is>
          <t>SKARA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46279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46279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Kommuner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46279</v>
      </c>
      <c r="F145" t="inlineStr">
        <is>
          <t>VÄSTRA GÖTALANDS LÄN</t>
        </is>
      </c>
      <c r="G145" t="inlineStr">
        <is>
          <t>SKARA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46279</v>
      </c>
      <c r="F146" t="inlineStr">
        <is>
          <t>VÄSTRA GÖTALANDS LÄN</t>
        </is>
      </c>
      <c r="G146" t="inlineStr">
        <is>
          <t>SKARA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46279</v>
      </c>
      <c r="F147" t="inlineStr">
        <is>
          <t>VÄSTRA GÖTALANDS LÄN</t>
        </is>
      </c>
      <c r="G147" t="inlineStr">
        <is>
          <t>SKARA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46279</v>
      </c>
      <c r="F148" t="inlineStr">
        <is>
          <t>VÄSTRA GÖTALANDS LÄN</t>
        </is>
      </c>
      <c r="G148" t="inlineStr">
        <is>
          <t>SKARA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46279</v>
      </c>
      <c r="F149" t="inlineStr">
        <is>
          <t>VÄSTRA GÖTALANDS LÄN</t>
        </is>
      </c>
      <c r="G149" t="inlineStr">
        <is>
          <t>SKARA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46279</v>
      </c>
      <c r="F150" t="inlineStr">
        <is>
          <t>VÄSTRA GÖTALANDS LÄN</t>
        </is>
      </c>
      <c r="G150" t="inlineStr">
        <is>
          <t>SKARA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46279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46279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46279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46279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46279</v>
      </c>
      <c r="F155" t="inlineStr">
        <is>
          <t>VÄSTRA GÖTALANDS LÄN</t>
        </is>
      </c>
      <c r="G155" t="inlineStr">
        <is>
          <t>SKARA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46279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46279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46279</v>
      </c>
      <c r="F158" t="inlineStr">
        <is>
          <t>VÄSTRA GÖTALANDS LÄN</t>
        </is>
      </c>
      <c r="G158" t="inlineStr">
        <is>
          <t>SKARA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46279</v>
      </c>
      <c r="F159" t="inlineStr">
        <is>
          <t>VÄSTRA GÖTALANDS LÄN</t>
        </is>
      </c>
      <c r="G159" t="inlineStr">
        <is>
          <t>SKARA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46279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46279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46279</v>
      </c>
      <c r="F162" t="inlineStr">
        <is>
          <t>VÄSTRA GÖTALANDS LÄN</t>
        </is>
      </c>
      <c r="G162" t="inlineStr">
        <is>
          <t>SKARA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46279</v>
      </c>
      <c r="F163" t="inlineStr">
        <is>
          <t>VÄSTRA GÖTALANDS LÄN</t>
        </is>
      </c>
      <c r="G163" t="inlineStr">
        <is>
          <t>SKARA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46279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27478-2026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46189</v>
      </c>
      <c r="E165" s="1" t="n">
        <v>46279</v>
      </c>
      <c r="F165" t="inlineStr">
        <is>
          <t>VÄSTRA GÖTALANDS LÄN</t>
        </is>
      </c>
      <c r="G165" t="inlineStr">
        <is>
          <t>SKARA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46279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18701-2022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44687</v>
      </c>
      <c r="E167" s="1" t="n">
        <v>46279</v>
      </c>
      <c r="F167" t="inlineStr">
        <is>
          <t>VÄSTRA GÖTALANDS LÄN</t>
        </is>
      </c>
      <c r="G167" t="inlineStr">
        <is>
          <t>SKARA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46190-2023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46279</v>
      </c>
      <c r="F168" t="inlineStr">
        <is>
          <t>VÄSTRA GÖTALANDS LÄN</t>
        </is>
      </c>
      <c r="G168" t="inlineStr">
        <is>
          <t>SKARA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44827</v>
      </c>
      <c r="E169" s="1" t="n">
        <v>46279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46279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46279</v>
      </c>
      <c r="F171" t="inlineStr">
        <is>
          <t>VÄSTRA GÖTALANDS LÄN</t>
        </is>
      </c>
      <c r="G171" t="inlineStr">
        <is>
          <t>SKARA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46279</v>
      </c>
      <c r="F172" t="inlineStr">
        <is>
          <t>VÄSTRA GÖTALANDS LÄN</t>
        </is>
      </c>
      <c r="G172" t="inlineStr">
        <is>
          <t>SKARA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46279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44995</v>
      </c>
      <c r="E174" s="1" t="n">
        <v>46279</v>
      </c>
      <c r="F174" t="inlineStr">
        <is>
          <t>VÄSTRA GÖTALANDS LÄN</t>
        </is>
      </c>
      <c r="G174" t="inlineStr">
        <is>
          <t>SKARA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46279</v>
      </c>
      <c r="F175" t="inlineStr">
        <is>
          <t>VÄSTRA GÖTALANDS LÄN</t>
        </is>
      </c>
      <c r="G175" t="inlineStr">
        <is>
          <t>SKARA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46279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46279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46279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Kyrkan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46279</v>
      </c>
      <c r="F179" t="inlineStr">
        <is>
          <t>VÄSTRA GÖTALANDS LÄN</t>
        </is>
      </c>
      <c r="G179" t="inlineStr">
        <is>
          <t>SKARA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46279</v>
      </c>
      <c r="F180" t="inlineStr">
        <is>
          <t>VÄSTRA GÖTALANDS LÄN</t>
        </is>
      </c>
      <c r="G180" t="inlineStr">
        <is>
          <t>SKARA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46279</v>
      </c>
      <c r="F181" t="inlineStr">
        <is>
          <t>VÄSTRA GÖTALANDS LÄN</t>
        </is>
      </c>
      <c r="G181" t="inlineStr">
        <is>
          <t>SKARA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46247</v>
      </c>
      <c r="E182" s="1" t="n">
        <v>46279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46279</v>
      </c>
      <c r="F183" t="inlineStr">
        <is>
          <t>VÄSTRA GÖTALANDS LÄN</t>
        </is>
      </c>
      <c r="G183" t="inlineStr">
        <is>
          <t>SKARA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46279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46279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46279</v>
      </c>
      <c r="F186" t="inlineStr">
        <is>
          <t>VÄSTRA GÖTALANDS LÄN</t>
        </is>
      </c>
      <c r="G186" t="inlineStr">
        <is>
          <t>SKARA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46279</v>
      </c>
      <c r="F187" t="inlineStr">
        <is>
          <t>VÄSTRA GÖTALANDS LÄN</t>
        </is>
      </c>
      <c r="G187" t="inlineStr">
        <is>
          <t>SKARA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46279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46279</v>
      </c>
      <c r="F189" t="inlineStr">
        <is>
          <t>VÄSTRA GÖTALANDS LÄN</t>
        </is>
      </c>
      <c r="G189" t="inlineStr">
        <is>
          <t>SKARA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46279</v>
      </c>
      <c r="F190" t="inlineStr">
        <is>
          <t>VÄSTRA GÖTALANDS LÄN</t>
        </is>
      </c>
      <c r="G190" t="inlineStr">
        <is>
          <t>SKARA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46279</v>
      </c>
      <c r="F191" t="inlineStr">
        <is>
          <t>VÄSTRA GÖTALANDS LÄN</t>
        </is>
      </c>
      <c r="G191" t="inlineStr">
        <is>
          <t>SKARA</t>
        </is>
      </c>
      <c r="I191" t="n">
        <v>21.6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46279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46279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46279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Kyrkan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46279</v>
      </c>
      <c r="F195" t="inlineStr">
        <is>
          <t>VÄSTRA GÖTALANDS LÄN</t>
        </is>
      </c>
      <c r="G195" t="inlineStr">
        <is>
          <t>SKARA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46279</v>
      </c>
      <c r="F196" t="inlineStr">
        <is>
          <t>VÄSTRA GÖTALANDS LÄN</t>
        </is>
      </c>
      <c r="G196" t="inlineStr">
        <is>
          <t>SKARA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46279</v>
      </c>
      <c r="F197" t="inlineStr">
        <is>
          <t>VÄSTRA GÖTALANDS LÄN</t>
        </is>
      </c>
      <c r="G197" t="inlineStr">
        <is>
          <t>SKARA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46279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46279</v>
      </c>
      <c r="F199" t="inlineStr">
        <is>
          <t>VÄSTRA GÖTALANDS LÄN</t>
        </is>
      </c>
      <c r="G199" t="inlineStr">
        <is>
          <t>SKARA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46279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44743</v>
      </c>
      <c r="E201" s="1" t="n">
        <v>46279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46279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46279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46279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46279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46279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46279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46279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46279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46279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46279</v>
      </c>
      <c r="F211" t="inlineStr">
        <is>
          <t>VÄSTRA GÖTALANDS LÄN</t>
        </is>
      </c>
      <c r="G211" t="inlineStr">
        <is>
          <t>SKARA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46279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46279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2026-09-14T02:14:04Z</dcterms:created>
  <dcterms:modified xmlns:dcterms="http://purl.org/dc/terms/" xmlns:xsi="http://www.w3.org/2001/XMLSchema-instance" xsi:type="dcterms:W3CDTF">2026-09-14T02:14:04Z</dcterms:modified>
</cp:coreProperties>
</file>