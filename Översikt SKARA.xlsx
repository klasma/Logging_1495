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46291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46291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46291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46291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46291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46291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46291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46291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46291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9277-2023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44980</v>
      </c>
      <c r="E11" s="1" t="n">
        <v>46291</v>
      </c>
      <c r="F11" t="inlineStr">
        <is>
          <t>VÄSTRA GÖTALANDS LÄN</t>
        </is>
      </c>
      <c r="G11" t="inlineStr">
        <is>
          <t>SKARA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HYPERLINK("https://klasma.github.io/Logging_1495/artfynd/A 9277-2023 artfynd.xlsx", "A 9277-2023")</f>
        <v/>
      </c>
      <c r="X11">
        <f>HYPERLINK("https://klasma.github.io/Logging_1495/kartor/A 9277-2023 karta.png", "A 9277-2023")</f>
        <v/>
      </c>
      <c r="Y11">
        <f>HYPERLINK("https://klasma.github.io/Logging_1495/kartor_geotiff/A 9277-2023 georefererad karta.tif", "A 9277-2023")</f>
        <v/>
      </c>
      <c r="AA11">
        <f>HYPERLINK("https://klasma.github.io/Logging_1495/klagomål/A 9277-2023 FSC-klagomål.docx", "A 9277-2023")</f>
        <v/>
      </c>
      <c r="AB11">
        <f>HYPERLINK("https://klasma.github.io/Logging_1495/klagomålsmail/A 9277-2023 FSC-klagomål mail.docx", "A 9277-2023")</f>
        <v/>
      </c>
      <c r="AC11">
        <f>HYPERLINK("https://klasma.github.io/Logging_1495/tillsyn/A 9277-2023 tillsynsbegäran.docx", "A 9277-2023")</f>
        <v/>
      </c>
      <c r="AD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46291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46291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30080-2023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45110</v>
      </c>
      <c r="E14" s="1" t="n">
        <v>46291</v>
      </c>
      <c r="F14" t="inlineStr">
        <is>
          <t>VÄSTRA GÖTALANDS LÄN</t>
        </is>
      </c>
      <c r="G14" t="inlineStr">
        <is>
          <t>SKARA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HYPERLINK("https://klasma.github.io/Logging_1495/artfynd/A 30080-2023 artfynd.xlsx", "A 30080-2023")</f>
        <v/>
      </c>
      <c r="X14">
        <f>HYPERLINK("https://klasma.github.io/Logging_1495/kartor/A 30080-2023 karta.png", "A 30080-2023")</f>
        <v/>
      </c>
      <c r="Y14">
        <f>HYPERLINK("https://klasma.github.io/Logging_1495/kartor_geotiff/A 30080-2023 georefererad karta.tif", "A 30080-2023")</f>
        <v/>
      </c>
      <c r="AA14">
        <f>HYPERLINK("https://klasma.github.io/Logging_1495/klagomål/A 30080-2023 FSC-klagomål.docx", "A 30080-2023")</f>
        <v/>
      </c>
      <c r="AB14">
        <f>HYPERLINK("https://klasma.github.io/Logging_1495/klagomålsmail/A 30080-2023 FSC-klagomål mail.docx", "A 30080-2023")</f>
        <v/>
      </c>
      <c r="AC14">
        <f>HYPERLINK("https://klasma.github.io/Logging_1495/tillsyn/A 30080-2023 tillsynsbegäran.docx", "A 30080-2023")</f>
        <v/>
      </c>
      <c r="AD14">
        <f>HYPERLINK("https://klasma.github.io/Logging_1495/tillsynsmail/A 30080-2023 tillsynsbegäran mail.docx", "A 30080-2023")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46291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20063-2025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45772</v>
      </c>
      <c r="E16" s="1" t="n">
        <v>46291</v>
      </c>
      <c r="F16" t="inlineStr">
        <is>
          <t>VÄSTRA GÖTALANDS LÄN</t>
        </is>
      </c>
      <c r="G16" t="inlineStr">
        <is>
          <t>SKARA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Skinntagging</t>
        </is>
      </c>
      <c r="W16">
        <f>HYPERLINK("https://klasma.github.io/Logging_1495/artfynd/A 20063-2025 artfynd.xlsx", "A 20063-2025")</f>
        <v/>
      </c>
      <c r="X16">
        <f>HYPERLINK("https://klasma.github.io/Logging_1495/kartor/A 20063-2025 karta.png", "A 20063-2025")</f>
        <v/>
      </c>
      <c r="Y16">
        <f>HYPERLINK("https://klasma.github.io/Logging_1495/kartor_geotiff/A 20063-2025 georefererad karta.tif", "A 20063-2025")</f>
        <v/>
      </c>
      <c r="AA16">
        <f>HYPERLINK("https://klasma.github.io/Logging_1495/klagomål/A 20063-2025 FSC-klagomål.docx", "A 20063-2025")</f>
        <v/>
      </c>
      <c r="AB16">
        <f>HYPERLINK("https://klasma.github.io/Logging_1495/klagomålsmail/A 20063-2025 FSC-klagomål mail.docx", "A 20063-2025")</f>
        <v/>
      </c>
      <c r="AC16">
        <f>HYPERLINK("https://klasma.github.io/Logging_1495/tillsyn/A 20063-2025 tillsynsbegäran.docx", "A 20063-2025")</f>
        <v/>
      </c>
      <c r="AD16">
        <f>HYPERLINK("https://klasma.github.io/Logging_1495/tillsynsmail/A 20063-2025 tillsynsbegäran mail.docx", "A 20063-2025")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46291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46291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46291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46291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46291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46291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46291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46291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46291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46291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46291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46291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46291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46291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46291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46291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46291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46291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46291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46291</v>
      </c>
      <c r="F36" t="inlineStr">
        <is>
          <t>VÄSTRA GÖTALANDS LÄN</t>
        </is>
      </c>
      <c r="G36" t="inlineStr">
        <is>
          <t>SKARA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46291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45272</v>
      </c>
      <c r="E38" s="1" t="n">
        <v>46291</v>
      </c>
      <c r="F38" t="inlineStr">
        <is>
          <t>VÄSTRA GÖTALANDS LÄN</t>
        </is>
      </c>
      <c r="G38" t="inlineStr">
        <is>
          <t>SKARA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46291</v>
      </c>
      <c r="F39" t="inlineStr">
        <is>
          <t>VÄSTRA GÖTALANDS LÄN</t>
        </is>
      </c>
      <c r="G39" t="inlineStr">
        <is>
          <t>SKARA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46291</v>
      </c>
      <c r="F40" t="inlineStr">
        <is>
          <t>VÄSTRA GÖTALANDS LÄN</t>
        </is>
      </c>
      <c r="G40" t="inlineStr">
        <is>
          <t>SKARA</t>
        </is>
      </c>
      <c r="H40" t="inlineStr">
        <is>
          <t>Kommuner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44856</v>
      </c>
      <c r="E41" s="1" t="n">
        <v>46291</v>
      </c>
      <c r="F41" t="inlineStr">
        <is>
          <t>VÄSTRA GÖTALANDS LÄN</t>
        </is>
      </c>
      <c r="G41" t="inlineStr">
        <is>
          <t>SKARA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44860</v>
      </c>
      <c r="E42" s="1" t="n">
        <v>46291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44895</v>
      </c>
      <c r="E43" s="1" t="n">
        <v>46291</v>
      </c>
      <c r="F43" t="inlineStr">
        <is>
          <t>VÄSTRA GÖTALANDS LÄN</t>
        </is>
      </c>
      <c r="G43" t="inlineStr">
        <is>
          <t>SKARA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45288</v>
      </c>
      <c r="E44" s="1" t="n">
        <v>46291</v>
      </c>
      <c r="F44" t="inlineStr">
        <is>
          <t>VÄSTRA GÖTALANDS LÄN</t>
        </is>
      </c>
      <c r="G44" t="inlineStr">
        <is>
          <t>SKARA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60654-2021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46291</v>
      </c>
      <c r="F45" t="inlineStr">
        <is>
          <t>VÄSTRA GÖTALANDS LÄN</t>
        </is>
      </c>
      <c r="G45" t="inlineStr">
        <is>
          <t>SKARA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46291</v>
      </c>
      <c r="F46" t="inlineStr">
        <is>
          <t>VÄSTRA GÖTALANDS LÄN</t>
        </is>
      </c>
      <c r="G46" t="inlineStr">
        <is>
          <t>SKARA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46291</v>
      </c>
      <c r="F47" t="inlineStr">
        <is>
          <t>VÄSTRA GÖTALANDS LÄN</t>
        </is>
      </c>
      <c r="G47" t="inlineStr">
        <is>
          <t>SKARA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29255-2025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46291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45469</v>
      </c>
      <c r="E49" s="1" t="n">
        <v>46291</v>
      </c>
      <c r="F49" t="inlineStr">
        <is>
          <t>VÄSTRA GÖTALANDS LÄN</t>
        </is>
      </c>
      <c r="G49" t="inlineStr">
        <is>
          <t>SKARA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45874</v>
      </c>
      <c r="E50" s="1" t="n">
        <v>46291</v>
      </c>
      <c r="F50" t="inlineStr">
        <is>
          <t>VÄSTRA GÖTALANDS LÄN</t>
        </is>
      </c>
      <c r="G50" t="inlineStr">
        <is>
          <t>SKARA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46291</v>
      </c>
      <c r="F51" t="inlineStr">
        <is>
          <t>VÄSTRA GÖTALANDS LÄN</t>
        </is>
      </c>
      <c r="G51" t="inlineStr">
        <is>
          <t>SKARA</t>
        </is>
      </c>
      <c r="H51" t="inlineStr">
        <is>
          <t>Sveaskog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39365-2025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45889</v>
      </c>
      <c r="E52" s="1" t="n">
        <v>46291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39367-2025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45889</v>
      </c>
      <c r="E53" s="1" t="n">
        <v>46291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39492-2025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46291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25219-2025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45800</v>
      </c>
      <c r="E55" s="1" t="n">
        <v>46291</v>
      </c>
      <c r="F55" t="inlineStr">
        <is>
          <t>VÄSTRA GÖTALANDS LÄN</t>
        </is>
      </c>
      <c r="G55" t="inlineStr">
        <is>
          <t>SKARA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25176-2023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45086</v>
      </c>
      <c r="E56" s="1" t="n">
        <v>46291</v>
      </c>
      <c r="F56" t="inlineStr">
        <is>
          <t>VÄSTRA GÖTALANDS LÄN</t>
        </is>
      </c>
      <c r="G56" t="inlineStr">
        <is>
          <t>SKARA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44587</v>
      </c>
      <c r="E57" s="1" t="n">
        <v>46291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46059</v>
      </c>
      <c r="E58" s="1" t="n">
        <v>46291</v>
      </c>
      <c r="F58" t="inlineStr">
        <is>
          <t>VÄSTRA GÖTALANDS LÄN</t>
        </is>
      </c>
      <c r="G58" t="inlineStr">
        <is>
          <t>SKARA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46291</v>
      </c>
      <c r="F59" t="inlineStr">
        <is>
          <t>VÄSTRA GÖTALANDS LÄN</t>
        </is>
      </c>
      <c r="G59" t="inlineStr">
        <is>
          <t>SKARA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46291</v>
      </c>
      <c r="F60" t="inlineStr">
        <is>
          <t>VÄSTRA GÖTALANDS LÄN</t>
        </is>
      </c>
      <c r="G60" t="inlineStr">
        <is>
          <t>SKARA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46291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46291</v>
      </c>
      <c r="F62" t="inlineStr">
        <is>
          <t>VÄSTRA GÖTALANDS LÄN</t>
        </is>
      </c>
      <c r="G62" t="inlineStr">
        <is>
          <t>SKARA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46291</v>
      </c>
      <c r="F63" t="inlineStr">
        <is>
          <t>VÄSTRA GÖTALANDS LÄN</t>
        </is>
      </c>
      <c r="G63" t="inlineStr">
        <is>
          <t>SKARA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46291</v>
      </c>
      <c r="F64" t="inlineStr">
        <is>
          <t>VÄSTRA GÖTALANDS LÄN</t>
        </is>
      </c>
      <c r="G64" t="inlineStr">
        <is>
          <t>SKARA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46291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46291</v>
      </c>
      <c r="F66" t="inlineStr">
        <is>
          <t>VÄSTRA GÖTALANDS LÄN</t>
        </is>
      </c>
      <c r="G66" t="inlineStr">
        <is>
          <t>SKARA</t>
        </is>
      </c>
      <c r="H66" t="inlineStr">
        <is>
          <t>Kyrkan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45408</v>
      </c>
      <c r="E67" s="1" t="n">
        <v>46291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9691-2026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46291</v>
      </c>
      <c r="F68" t="inlineStr">
        <is>
          <t>VÄSTRA GÖTALANDS LÄN</t>
        </is>
      </c>
      <c r="G68" t="inlineStr">
        <is>
          <t>SKARA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47010-2025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46291</v>
      </c>
      <c r="F69" t="inlineStr">
        <is>
          <t>VÄSTRA GÖTALANDS LÄN</t>
        </is>
      </c>
      <c r="G69" t="inlineStr">
        <is>
          <t>SKARA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7946-2023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44973</v>
      </c>
      <c r="E70" s="1" t="n">
        <v>46291</v>
      </c>
      <c r="F70" t="inlineStr">
        <is>
          <t>VÄSTRA GÖTALANDS LÄN</t>
        </is>
      </c>
      <c r="G70" t="inlineStr">
        <is>
          <t>SKARA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12332-2026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46087</v>
      </c>
      <c r="E71" s="1" t="n">
        <v>46291</v>
      </c>
      <c r="F71" t="inlineStr">
        <is>
          <t>VÄSTRA GÖTALANDS LÄN</t>
        </is>
      </c>
      <c r="G71" t="inlineStr">
        <is>
          <t>SKARA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45932</v>
      </c>
      <c r="E72" s="1" t="n">
        <v>46291</v>
      </c>
      <c r="F72" t="inlineStr">
        <is>
          <t>VÄSTRA GÖTALANDS LÄN</t>
        </is>
      </c>
      <c r="G72" t="inlineStr">
        <is>
          <t>SKARA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46291</v>
      </c>
      <c r="F73" t="inlineStr">
        <is>
          <t>VÄSTRA GÖTALANDS LÄN</t>
        </is>
      </c>
      <c r="G73" t="inlineStr">
        <is>
          <t>SKARA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46291</v>
      </c>
      <c r="F74" t="inlineStr">
        <is>
          <t>VÄSTRA GÖTALANDS LÄN</t>
        </is>
      </c>
      <c r="G74" t="inlineStr">
        <is>
          <t>SKARA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46291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46291</v>
      </c>
      <c r="F76" t="inlineStr">
        <is>
          <t>VÄSTRA GÖTALANDS LÄN</t>
        </is>
      </c>
      <c r="G76" t="inlineStr">
        <is>
          <t>SKARA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46101</v>
      </c>
      <c r="E77" s="1" t="n">
        <v>46291</v>
      </c>
      <c r="F77" t="inlineStr">
        <is>
          <t>VÄSTRA GÖTALANDS LÄN</t>
        </is>
      </c>
      <c r="G77" t="inlineStr">
        <is>
          <t>SKARA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46291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45945</v>
      </c>
      <c r="E79" s="1" t="n">
        <v>46291</v>
      </c>
      <c r="F79" t="inlineStr">
        <is>
          <t>VÄSTRA GÖTALANDS LÄN</t>
        </is>
      </c>
      <c r="G79" t="inlineStr">
        <is>
          <t>SKARA</t>
        </is>
      </c>
      <c r="H79" t="inlineStr">
        <is>
          <t>Sveaskog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14577-2026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46101</v>
      </c>
      <c r="E80" s="1" t="n">
        <v>46291</v>
      </c>
      <c r="F80" t="inlineStr">
        <is>
          <t>VÄSTRA GÖTALANDS LÄN</t>
        </is>
      </c>
      <c r="G80" t="inlineStr">
        <is>
          <t>SKARA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46100</v>
      </c>
      <c r="E81" s="1" t="n">
        <v>46291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15429-2026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46291</v>
      </c>
      <c r="F82" t="inlineStr">
        <is>
          <t>VÄSTRA GÖTALANDS LÄN</t>
        </is>
      </c>
      <c r="G82" t="inlineStr">
        <is>
          <t>SKARA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46291</v>
      </c>
      <c r="F83" t="inlineStr">
        <is>
          <t>VÄSTRA GÖTALANDS LÄN</t>
        </is>
      </c>
      <c r="G83" t="inlineStr">
        <is>
          <t>SKARA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46291</v>
      </c>
      <c r="F84" t="inlineStr">
        <is>
          <t>VÄSTRA GÖTALANDS LÄN</t>
        </is>
      </c>
      <c r="G84" t="inlineStr">
        <is>
          <t>SKARA</t>
        </is>
      </c>
      <c r="H84" t="inlineStr">
        <is>
          <t>Sveaskog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46291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46291</v>
      </c>
      <c r="F86" t="inlineStr">
        <is>
          <t>VÄSTRA GÖTALANDS LÄN</t>
        </is>
      </c>
      <c r="G86" t="inlineStr">
        <is>
          <t>SKARA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16199-2026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46291</v>
      </c>
      <c r="F87" t="inlineStr">
        <is>
          <t>VÄSTRA GÖTALANDS LÄN</t>
        </is>
      </c>
      <c r="G87" t="inlineStr">
        <is>
          <t>SKARA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46111</v>
      </c>
      <c r="E88" s="1" t="n">
        <v>46291</v>
      </c>
      <c r="F88" t="inlineStr">
        <is>
          <t>VÄSTRA GÖTALANDS LÄN</t>
        </is>
      </c>
      <c r="G88" t="inlineStr">
        <is>
          <t>SKARA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16187-2026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46291</v>
      </c>
      <c r="F89" t="inlineStr">
        <is>
          <t>VÄSTRA GÖTALANDS LÄN</t>
        </is>
      </c>
      <c r="G89" t="inlineStr">
        <is>
          <t>SKARA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46291</v>
      </c>
      <c r="F90" t="inlineStr">
        <is>
          <t>VÄSTRA GÖTALANDS LÄN</t>
        </is>
      </c>
      <c r="G90" t="inlineStr">
        <is>
          <t>SKARA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45713</v>
      </c>
      <c r="E91" s="1" t="n">
        <v>46291</v>
      </c>
      <c r="F91" t="inlineStr">
        <is>
          <t>VÄSTRA GÖTALANDS LÄN</t>
        </is>
      </c>
      <c r="G91" t="inlineStr">
        <is>
          <t>SKARA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16755-2026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46113</v>
      </c>
      <c r="E92" s="1" t="n">
        <v>46291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46291</v>
      </c>
      <c r="F93" t="inlineStr">
        <is>
          <t>VÄSTRA GÖTALANDS LÄN</t>
        </is>
      </c>
      <c r="G93" t="inlineStr">
        <is>
          <t>SKARA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45960</v>
      </c>
      <c r="E94" s="1" t="n">
        <v>46291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46291</v>
      </c>
      <c r="F95" t="inlineStr">
        <is>
          <t>VÄSTRA GÖTALANDS LÄN</t>
        </is>
      </c>
      <c r="G95" t="inlineStr">
        <is>
          <t>SKARA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46291</v>
      </c>
      <c r="F96" t="inlineStr">
        <is>
          <t>VÄSTRA GÖTALANDS LÄN</t>
        </is>
      </c>
      <c r="G96" t="inlineStr">
        <is>
          <t>SKARA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60840-2021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46291</v>
      </c>
      <c r="F97" t="inlineStr">
        <is>
          <t>VÄSTRA GÖTALANDS LÄN</t>
        </is>
      </c>
      <c r="G97" t="inlineStr">
        <is>
          <t>SKARA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46291</v>
      </c>
      <c r="F98" t="inlineStr">
        <is>
          <t>VÄSTRA GÖTALANDS LÄN</t>
        </is>
      </c>
      <c r="G98" t="inlineStr">
        <is>
          <t>SKARA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45539</v>
      </c>
      <c r="E99" s="1" t="n">
        <v>46291</v>
      </c>
      <c r="F99" t="inlineStr">
        <is>
          <t>VÄSTRA GÖTALANDS LÄN</t>
        </is>
      </c>
      <c r="G99" t="inlineStr">
        <is>
          <t>SKARA</t>
        </is>
      </c>
      <c r="H99" t="inlineStr">
        <is>
          <t>Sveaskog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60086-2024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46291</v>
      </c>
      <c r="F100" t="inlineStr">
        <is>
          <t>VÄSTRA GÖTALANDS LÄN</t>
        </is>
      </c>
      <c r="G100" t="inlineStr">
        <is>
          <t>SKARA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46291</v>
      </c>
      <c r="F101" t="inlineStr">
        <is>
          <t>VÄSTRA GÖTALANDS LÄN</t>
        </is>
      </c>
      <c r="G101" t="inlineStr">
        <is>
          <t>SKARA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46291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46291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46291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32668-2024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46291</v>
      </c>
      <c r="F105" t="inlineStr">
        <is>
          <t>VÄSTRA GÖTALANDS LÄN</t>
        </is>
      </c>
      <c r="G105" t="inlineStr">
        <is>
          <t>SKARA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31128-2023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46291</v>
      </c>
      <c r="F106" t="inlineStr">
        <is>
          <t>VÄSTRA GÖTALANDS LÄN</t>
        </is>
      </c>
      <c r="G106" t="inlineStr">
        <is>
          <t>SKARA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46291</v>
      </c>
      <c r="F107" t="inlineStr">
        <is>
          <t>VÄSTRA GÖTALANDS LÄN</t>
        </is>
      </c>
      <c r="G107" t="inlineStr">
        <is>
          <t>SKARA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46291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46291</v>
      </c>
      <c r="F109" t="inlineStr">
        <is>
          <t>VÄSTRA GÖTALANDS LÄN</t>
        </is>
      </c>
      <c r="G109" t="inlineStr">
        <is>
          <t>SKARA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44990</v>
      </c>
      <c r="E110" s="1" t="n">
        <v>46291</v>
      </c>
      <c r="F110" t="inlineStr">
        <is>
          <t>VÄSTRA GÖTALANDS LÄN</t>
        </is>
      </c>
      <c r="G110" t="inlineStr">
        <is>
          <t>SKARA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44946</v>
      </c>
      <c r="E111" s="1" t="n">
        <v>46291</v>
      </c>
      <c r="F111" t="inlineStr">
        <is>
          <t>VÄSTRA GÖTALANDS LÄN</t>
        </is>
      </c>
      <c r="G111" t="inlineStr">
        <is>
          <t>SKARA</t>
        </is>
      </c>
      <c r="I111" t="n">
        <v>7.3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46291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42874-2022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44832</v>
      </c>
      <c r="E113" s="1" t="n">
        <v>46291</v>
      </c>
      <c r="F113" t="inlineStr">
        <is>
          <t>VÄSTRA GÖTALANDS LÄN</t>
        </is>
      </c>
      <c r="G113" t="inlineStr">
        <is>
          <t>SKARA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61324-2025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46291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45091</v>
      </c>
      <c r="E115" s="1" t="n">
        <v>46291</v>
      </c>
      <c r="F115" t="inlineStr">
        <is>
          <t>VÄSTRA GÖTALANDS LÄN</t>
        </is>
      </c>
      <c r="G115" t="inlineStr">
        <is>
          <t>SKARA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45800</v>
      </c>
      <c r="E116" s="1" t="n">
        <v>46291</v>
      </c>
      <c r="F116" t="inlineStr">
        <is>
          <t>VÄSTRA GÖTALANDS LÄN</t>
        </is>
      </c>
      <c r="G116" t="inlineStr">
        <is>
          <t>SKARA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45667</v>
      </c>
      <c r="E117" s="1" t="n">
        <v>46291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46291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46291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46291</v>
      </c>
      <c r="F120" t="inlineStr">
        <is>
          <t>VÄSTRA GÖTALANDS LÄN</t>
        </is>
      </c>
      <c r="G120" t="inlineStr">
        <is>
          <t>SKARA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46291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45043</v>
      </c>
      <c r="E122" s="1" t="n">
        <v>46291</v>
      </c>
      <c r="F122" t="inlineStr">
        <is>
          <t>VÄSTRA GÖTALANDS LÄN</t>
        </is>
      </c>
      <c r="G122" t="inlineStr">
        <is>
          <t>SKARA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46291</v>
      </c>
      <c r="F123" t="inlineStr">
        <is>
          <t>VÄSTRA GÖTALANDS LÄN</t>
        </is>
      </c>
      <c r="G123" t="inlineStr">
        <is>
          <t>SKARA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45492</v>
      </c>
      <c r="E124" s="1" t="n">
        <v>46291</v>
      </c>
      <c r="F124" t="inlineStr">
        <is>
          <t>VÄSTRA GÖTALANDS LÄN</t>
        </is>
      </c>
      <c r="G124" t="inlineStr">
        <is>
          <t>SKARA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46291</v>
      </c>
      <c r="F125" t="inlineStr">
        <is>
          <t>VÄSTRA GÖTALANDS LÄN</t>
        </is>
      </c>
      <c r="G125" t="inlineStr">
        <is>
          <t>SKARA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46291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46291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46291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46291</v>
      </c>
      <c r="F129" t="inlineStr">
        <is>
          <t>VÄSTRA GÖTALANDS LÄN</t>
        </is>
      </c>
      <c r="G129" t="inlineStr">
        <is>
          <t>SKARA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45839</v>
      </c>
      <c r="E130" s="1" t="n">
        <v>46291</v>
      </c>
      <c r="F130" t="inlineStr">
        <is>
          <t>VÄSTRA GÖTALANDS LÄN</t>
        </is>
      </c>
      <c r="G130" t="inlineStr">
        <is>
          <t>SKARA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30019-2023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45109</v>
      </c>
      <c r="E131" s="1" t="n">
        <v>46291</v>
      </c>
      <c r="F131" t="inlineStr">
        <is>
          <t>VÄSTRA GÖTALANDS LÄN</t>
        </is>
      </c>
      <c r="G131" t="inlineStr">
        <is>
          <t>SKARA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46291</v>
      </c>
      <c r="F132" t="inlineStr">
        <is>
          <t>VÄSTRA GÖTALANDS LÄN</t>
        </is>
      </c>
      <c r="G132" t="inlineStr">
        <is>
          <t>SKARA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46291</v>
      </c>
      <c r="F133" t="inlineStr">
        <is>
          <t>VÄSTRA GÖTALANDS LÄN</t>
        </is>
      </c>
      <c r="G133" t="inlineStr">
        <is>
          <t>SKARA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46291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46291</v>
      </c>
      <c r="F135" t="inlineStr">
        <is>
          <t>VÄSTRA GÖTALANDS LÄN</t>
        </is>
      </c>
      <c r="G135" t="inlineStr">
        <is>
          <t>SKARA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46291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46163</v>
      </c>
      <c r="E137" s="1" t="n">
        <v>46291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46163</v>
      </c>
      <c r="E138" s="1" t="n">
        <v>46291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46168</v>
      </c>
      <c r="E139" s="1" t="n">
        <v>46291</v>
      </c>
      <c r="F139" t="inlineStr">
        <is>
          <t>VÄSTRA GÖTALANDS LÄN</t>
        </is>
      </c>
      <c r="G139" t="inlineStr">
        <is>
          <t>SKARA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24143-2026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46291</v>
      </c>
      <c r="F140" t="inlineStr">
        <is>
          <t>VÄSTRA GÖTALANDS LÄN</t>
        </is>
      </c>
      <c r="G140" t="inlineStr">
        <is>
          <t>SKARA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46291</v>
      </c>
      <c r="F141" t="inlineStr">
        <is>
          <t>VÄSTRA GÖTALANDS LÄN</t>
        </is>
      </c>
      <c r="G141" t="inlineStr">
        <is>
          <t>SKARA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44687</v>
      </c>
      <c r="E142" s="1" t="n">
        <v>46291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45258</v>
      </c>
      <c r="E143" s="1" t="n">
        <v>46291</v>
      </c>
      <c r="F143" t="inlineStr">
        <is>
          <t>VÄSTRA GÖTALANDS LÄN</t>
        </is>
      </c>
      <c r="G143" t="inlineStr">
        <is>
          <t>SKARA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46291</v>
      </c>
      <c r="F144" t="inlineStr">
        <is>
          <t>VÄSTRA GÖTALANDS LÄN</t>
        </is>
      </c>
      <c r="G144" t="inlineStr">
        <is>
          <t>SKARA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45309</v>
      </c>
      <c r="E145" s="1" t="n">
        <v>46291</v>
      </c>
      <c r="F145" t="inlineStr">
        <is>
          <t>VÄSTRA GÖTALANDS LÄN</t>
        </is>
      </c>
      <c r="G145" t="inlineStr">
        <is>
          <t>SKARA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45492</v>
      </c>
      <c r="E146" s="1" t="n">
        <v>46291</v>
      </c>
      <c r="F146" t="inlineStr">
        <is>
          <t>VÄSTRA GÖTALANDS LÄN</t>
        </is>
      </c>
      <c r="G146" t="inlineStr">
        <is>
          <t>SKARA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46291</v>
      </c>
      <c r="F147" t="inlineStr">
        <is>
          <t>VÄSTRA GÖTALANDS LÄN</t>
        </is>
      </c>
      <c r="G147" t="inlineStr">
        <is>
          <t>SKARA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46291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Kommuner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46182</v>
      </c>
      <c r="E149" s="1" t="n">
        <v>46291</v>
      </c>
      <c r="F149" t="inlineStr">
        <is>
          <t>VÄSTRA GÖTALANDS LÄN</t>
        </is>
      </c>
      <c r="G149" t="inlineStr">
        <is>
          <t>SKARA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45022</v>
      </c>
      <c r="E150" s="1" t="n">
        <v>46291</v>
      </c>
      <c r="F150" t="inlineStr">
        <is>
          <t>VÄSTRA GÖTALANDS LÄN</t>
        </is>
      </c>
      <c r="G150" t="inlineStr">
        <is>
          <t>SKARA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46291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46291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46291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46291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45713</v>
      </c>
      <c r="E155" s="1" t="n">
        <v>46291</v>
      </c>
      <c r="F155" t="inlineStr">
        <is>
          <t>VÄSTRA GÖTALANDS LÄN</t>
        </is>
      </c>
      <c r="G155" t="inlineStr">
        <is>
          <t>SKARA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46291</v>
      </c>
      <c r="F156" t="inlineStr">
        <is>
          <t>VÄSTRA GÖTALANDS LÄN</t>
        </is>
      </c>
      <c r="G156" t="inlineStr">
        <is>
          <t>SKARA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46291</v>
      </c>
      <c r="F157" t="inlineStr">
        <is>
          <t>VÄSTRA GÖTALANDS LÄN</t>
        </is>
      </c>
      <c r="G157" t="inlineStr">
        <is>
          <t>SKARA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45091</v>
      </c>
      <c r="E158" s="1" t="n">
        <v>46291</v>
      </c>
      <c r="F158" t="inlineStr">
        <is>
          <t>VÄSTRA GÖTALANDS LÄN</t>
        </is>
      </c>
      <c r="G158" t="inlineStr">
        <is>
          <t>SKARA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46291</v>
      </c>
      <c r="F159" t="inlineStr">
        <is>
          <t>VÄSTRA GÖTALANDS LÄN</t>
        </is>
      </c>
      <c r="G159" t="inlineStr">
        <is>
          <t>SKARA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45420</v>
      </c>
      <c r="E160" s="1" t="n">
        <v>46291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29478-2026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46203</v>
      </c>
      <c r="E161" s="1" t="n">
        <v>46291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46291</v>
      </c>
      <c r="F162" t="inlineStr">
        <is>
          <t>VÄSTRA GÖTALANDS LÄN</t>
        </is>
      </c>
      <c r="G162" t="inlineStr">
        <is>
          <t>SKARA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20870-2022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46291</v>
      </c>
      <c r="F163" t="inlineStr">
        <is>
          <t>VÄSTRA GÖTALANDS LÄN</t>
        </is>
      </c>
      <c r="G163" t="inlineStr">
        <is>
          <t>SKARA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46291</v>
      </c>
      <c r="F164" t="inlineStr">
        <is>
          <t>VÄSTRA GÖTALANDS LÄN</t>
        </is>
      </c>
      <c r="G164" t="inlineStr">
        <is>
          <t>SKARA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46291</v>
      </c>
      <c r="F165" t="inlineStr">
        <is>
          <t>VÄSTRA GÖTALANDS LÄN</t>
        </is>
      </c>
      <c r="G165" t="inlineStr">
        <is>
          <t>SKARA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46291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45313</v>
      </c>
      <c r="E167" s="1" t="n">
        <v>46291</v>
      </c>
      <c r="F167" t="inlineStr">
        <is>
          <t>VÄSTRA GÖTALANDS LÄN</t>
        </is>
      </c>
      <c r="G167" t="inlineStr">
        <is>
          <t>SKARA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45448</v>
      </c>
      <c r="E168" s="1" t="n">
        <v>46291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18701-2022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44687</v>
      </c>
      <c r="E169" s="1" t="n">
        <v>46291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46280</v>
      </c>
      <c r="E170" s="1" t="n">
        <v>46291</v>
      </c>
      <c r="F170" t="inlineStr">
        <is>
          <t>VÄSTRA GÖTALANDS LÄN</t>
        </is>
      </c>
      <c r="G170" t="inlineStr">
        <is>
          <t>SKARA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46291</v>
      </c>
      <c r="F171" t="inlineStr">
        <is>
          <t>VÄSTRA GÖTALANDS LÄN</t>
        </is>
      </c>
      <c r="G171" t="inlineStr">
        <is>
          <t>SKARA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41562-2022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44827</v>
      </c>
      <c r="E172" s="1" t="n">
        <v>46291</v>
      </c>
      <c r="F172" t="inlineStr">
        <is>
          <t>VÄSTRA GÖTALANDS LÄN</t>
        </is>
      </c>
      <c r="G172" t="inlineStr">
        <is>
          <t>SKARA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45314</v>
      </c>
      <c r="E173" s="1" t="n">
        <v>46291</v>
      </c>
      <c r="F173" t="inlineStr">
        <is>
          <t>VÄSTRA GÖTALANDS LÄN</t>
        </is>
      </c>
      <c r="G173" t="inlineStr">
        <is>
          <t>SKARA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46291</v>
      </c>
      <c r="F174" t="inlineStr">
        <is>
          <t>VÄSTRA GÖTALANDS LÄN</t>
        </is>
      </c>
      <c r="G174" t="inlineStr">
        <is>
          <t>SKARA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46291</v>
      </c>
      <c r="F175" t="inlineStr">
        <is>
          <t>VÄSTRA GÖTALANDS LÄN</t>
        </is>
      </c>
      <c r="G175" t="inlineStr">
        <is>
          <t>SKARA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46291</v>
      </c>
      <c r="F176" t="inlineStr">
        <is>
          <t>VÄSTRA GÖTALANDS LÄN</t>
        </is>
      </c>
      <c r="G176" t="inlineStr">
        <is>
          <t>SKARA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46291</v>
      </c>
      <c r="F177" t="inlineStr">
        <is>
          <t>VÄSTRA GÖTALANDS LÄN</t>
        </is>
      </c>
      <c r="G177" t="inlineStr">
        <is>
          <t>SKARA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46291</v>
      </c>
      <c r="F178" t="inlineStr">
        <is>
          <t>VÄSTRA GÖTALANDS LÄN</t>
        </is>
      </c>
      <c r="G178" t="inlineStr">
        <is>
          <t>SKARA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46291</v>
      </c>
      <c r="F179" t="inlineStr">
        <is>
          <t>VÄSTRA GÖTALANDS LÄN</t>
        </is>
      </c>
      <c r="G179" t="inlineStr">
        <is>
          <t>SKARA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46291</v>
      </c>
      <c r="F180" t="inlineStr">
        <is>
          <t>VÄSTRA GÖTALANDS LÄN</t>
        </is>
      </c>
      <c r="G180" t="inlineStr">
        <is>
          <t>SKARA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46288</v>
      </c>
      <c r="E181" s="1" t="n">
        <v>46291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46288</v>
      </c>
      <c r="E182" s="1" t="n">
        <v>46291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46291</v>
      </c>
      <c r="F183" t="inlineStr">
        <is>
          <t>VÄSTRA GÖTALANDS LÄN</t>
        </is>
      </c>
      <c r="G183" t="inlineStr">
        <is>
          <t>SKARA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46291</v>
      </c>
      <c r="F184" t="inlineStr">
        <is>
          <t>VÄSTRA GÖTALANDS LÄN</t>
        </is>
      </c>
      <c r="G184" t="inlineStr">
        <is>
          <t>SKARA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38205-2022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46291</v>
      </c>
      <c r="F185" t="inlineStr">
        <is>
          <t>VÄSTRA GÖTALANDS LÄN</t>
        </is>
      </c>
      <c r="G185" t="inlineStr">
        <is>
          <t>SKARA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46291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46291</v>
      </c>
      <c r="F187" t="inlineStr">
        <is>
          <t>VÄSTRA GÖTALANDS LÄN</t>
        </is>
      </c>
      <c r="G187" t="inlineStr">
        <is>
          <t>SKARA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44995</v>
      </c>
      <c r="E188" s="1" t="n">
        <v>46291</v>
      </c>
      <c r="F188" t="inlineStr">
        <is>
          <t>VÄSTRA GÖTALANDS LÄN</t>
        </is>
      </c>
      <c r="G188" t="inlineStr">
        <is>
          <t>SKARA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46291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46291</v>
      </c>
      <c r="F190" t="inlineStr">
        <is>
          <t>VÄSTRA GÖTALANDS LÄN</t>
        </is>
      </c>
      <c r="G190" t="inlineStr">
        <is>
          <t>SKARA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46291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46291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46291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46291</v>
      </c>
      <c r="F194" t="inlineStr">
        <is>
          <t>VÄSTRA GÖTALANDS LÄN</t>
        </is>
      </c>
      <c r="G194" t="inlineStr">
        <is>
          <t>SKARA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46291</v>
      </c>
      <c r="F195" t="inlineStr">
        <is>
          <t>VÄSTRA GÖTALANDS LÄN</t>
        </is>
      </c>
      <c r="G195" t="inlineStr">
        <is>
          <t>SKARA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46291</v>
      </c>
      <c r="F196" t="inlineStr">
        <is>
          <t>VÄSTRA GÖTALANDS LÄN</t>
        </is>
      </c>
      <c r="G196" t="inlineStr">
        <is>
          <t>SKARA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12889-2022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44642</v>
      </c>
      <c r="E197" s="1" t="n">
        <v>46291</v>
      </c>
      <c r="F197" t="inlineStr">
        <is>
          <t>VÄSTRA GÖTALANDS LÄN</t>
        </is>
      </c>
      <c r="G197" t="inlineStr">
        <is>
          <t>SKARA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46291</v>
      </c>
      <c r="F198" t="inlineStr">
        <is>
          <t>VÄSTRA GÖTALANDS LÄN</t>
        </is>
      </c>
      <c r="G198" t="inlineStr">
        <is>
          <t>SKARA</t>
        </is>
      </c>
      <c r="I198" t="n">
        <v>21.6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46291</v>
      </c>
      <c r="F199" t="inlineStr">
        <is>
          <t>VÄSTRA GÖTALANDS LÄN</t>
        </is>
      </c>
      <c r="G199" t="inlineStr">
        <is>
          <t>SKARA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46291</v>
      </c>
      <c r="F200" t="inlineStr">
        <is>
          <t>VÄSTRA GÖTALANDS LÄN</t>
        </is>
      </c>
      <c r="G200" t="inlineStr">
        <is>
          <t>SKARA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46291</v>
      </c>
      <c r="F201" t="inlineStr">
        <is>
          <t>VÄSTRA GÖTALANDS LÄN</t>
        </is>
      </c>
      <c r="G201" t="inlineStr">
        <is>
          <t>SKARA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46291</v>
      </c>
      <c r="F202" t="inlineStr">
        <is>
          <t>VÄSTRA GÖTALANDS LÄN</t>
        </is>
      </c>
      <c r="G202" t="inlineStr">
        <is>
          <t>SKARA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45299</v>
      </c>
      <c r="E203" s="1" t="n">
        <v>46291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45356</v>
      </c>
      <c r="E204" s="1" t="n">
        <v>46291</v>
      </c>
      <c r="F204" t="inlineStr">
        <is>
          <t>VÄSTRA GÖTALANDS LÄN</t>
        </is>
      </c>
      <c r="G204" t="inlineStr">
        <is>
          <t>SKARA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46291</v>
      </c>
      <c r="F205" t="inlineStr">
        <is>
          <t>VÄSTRA GÖTALANDS LÄN</t>
        </is>
      </c>
      <c r="G205" t="inlineStr">
        <is>
          <t>SKARA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44743</v>
      </c>
      <c r="E206" s="1" t="n">
        <v>46291</v>
      </c>
      <c r="F206" t="inlineStr">
        <is>
          <t>VÄSTRA GÖTALANDS LÄN</t>
        </is>
      </c>
      <c r="G206" t="inlineStr">
        <is>
          <t>SKARA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46291</v>
      </c>
      <c r="F207" t="inlineStr">
        <is>
          <t>VÄSTRA GÖTALANDS LÄN</t>
        </is>
      </c>
      <c r="G207" t="inlineStr">
        <is>
          <t>SKARA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46291</v>
      </c>
      <c r="F208" t="inlineStr">
        <is>
          <t>VÄSTRA GÖTALANDS LÄN</t>
        </is>
      </c>
      <c r="G208" t="inlineStr">
        <is>
          <t>SKARA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45758</v>
      </c>
      <c r="E209" s="1" t="n">
        <v>46291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Sveaskog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46291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2590-2024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45313</v>
      </c>
      <c r="E211" s="1" t="n">
        <v>46291</v>
      </c>
      <c r="F211" t="inlineStr">
        <is>
          <t>VÄSTRA GÖTALANDS LÄN</t>
        </is>
      </c>
      <c r="G211" t="inlineStr">
        <is>
          <t>SKARA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59841-2024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46291</v>
      </c>
      <c r="F212" t="inlineStr">
        <is>
          <t>VÄSTRA GÖTALANDS LÄN</t>
        </is>
      </c>
      <c r="G212" t="inlineStr">
        <is>
          <t>SKARA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49435-2024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45595</v>
      </c>
      <c r="E213" s="1" t="n">
        <v>46291</v>
      </c>
      <c r="F213" t="inlineStr">
        <is>
          <t>VÄSTRA GÖTALANDS LÄN</t>
        </is>
      </c>
      <c r="G213" t="inlineStr">
        <is>
          <t>SKARA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45635</v>
      </c>
      <c r="E214" s="1" t="n">
        <v>46291</v>
      </c>
      <c r="F214" t="inlineStr">
        <is>
          <t>VÄSTRA GÖTALANDS LÄN</t>
        </is>
      </c>
      <c r="G214" t="inlineStr">
        <is>
          <t>SKARA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46291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46291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2026-09-26T02:04:37Z</dcterms:created>
  <dcterms:modified xmlns:dcterms="http://purl.org/dc/terms/" xmlns:xsi="http://www.w3.org/2001/XMLSchema-instance" xsi:type="dcterms:W3CDTF">2026-09-26T02:04:37Z</dcterms:modified>
</cp:coreProperties>
</file>