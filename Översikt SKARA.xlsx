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46272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46272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46272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46272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46272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46272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46272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46272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46272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46272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46272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46272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46272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46272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HYPERLINK("https://klasma.github.io/Logging_1495/artfynd/A 9277-2023 artfynd.xlsx", "A 9277-2023")</f>
        <v/>
      </c>
      <c r="X15">
        <f>HYPERLINK("https://klasma.github.io/Logging_1495/kartor/A 9277-2023 karta.png", "A 9277-2023")</f>
        <v/>
      </c>
      <c r="Y15">
        <f>HYPERLINK("https://klasma.github.io/Logging_1495/kartor_geotiff/A 9277-2023 georefererad karta.tif", "A 9277-2023")</f>
        <v/>
      </c>
      <c r="AA15">
        <f>HYPERLINK("https://klasma.github.io/Logging_1495/klagomål/A 9277-2023 FSC-klagomål.docx", "A 9277-2023")</f>
        <v/>
      </c>
      <c r="AB15">
        <f>HYPERLINK("https://klasma.github.io/Logging_1495/klagomålsmail/A 9277-2023 FSC-klagomål mail.docx", "A 9277-2023")</f>
        <v/>
      </c>
      <c r="AC15">
        <f>HYPERLINK("https://klasma.github.io/Logging_1495/tillsyn/A 9277-2023 tillsynsbegäran.docx", "A 9277-2023")</f>
        <v/>
      </c>
      <c r="AD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46272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46272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46272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46272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S 725-2026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46093</v>
      </c>
      <c r="E20" s="1" t="n">
        <v>46272</v>
      </c>
      <c r="F20" t="inlineStr">
        <is>
          <t>VÄSTRA GÖTALANDS LÄN</t>
        </is>
      </c>
      <c r="G20" t="inlineStr">
        <is>
          <t>SKARA</t>
        </is>
      </c>
      <c r="H20" t="inlineStr">
        <is>
          <t>Sveaskog</t>
        </is>
      </c>
      <c r="I20" t="n">
        <v>520.8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Vågbandad barkbock</t>
        </is>
      </c>
      <c r="W20">
        <f>HYPERLINK("https://klasma.github.io/Logging_1495/artfynd/S 725-2026 artfynd.xlsx", "S 725-2026")</f>
        <v/>
      </c>
      <c r="X20">
        <f>HYPERLINK("https://klasma.github.io/Logging_1495/kartor/S 725-2026 karta.png", "S 725-2026")</f>
        <v/>
      </c>
      <c r="Y20">
        <f>HYPERLINK("https://klasma.github.io/Logging_1495/kartor_geotiff/S 725-2026 georefererad karta.tif", "S 725-2026")</f>
        <v/>
      </c>
      <c r="AA20">
        <f>HYPERLINK("https://klasma.github.io/Logging_1495/klagomål/S 725-2026 FSC-klagomål.docx", "S 725-2026")</f>
        <v/>
      </c>
      <c r="AB20">
        <f>HYPERLINK("https://klasma.github.io/Logging_1495/klagomålsmail/S 725-2026 FSC-klagomål mail.docx", "S 725-2026")</f>
        <v/>
      </c>
      <c r="AC20">
        <f>HYPERLINK("https://klasma.github.io/Logging_1495/tillsyn/S 725-2026 tillsynsbegäran.docx", "S 725-2026")</f>
        <v/>
      </c>
      <c r="AD20">
        <f>HYPERLINK("https://klasma.github.io/Logging_1495/tillsynsmail/S 725-2026 tillsynsbegäran mail.docx", "S 725-2026")</f>
        <v/>
      </c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46272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46272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46272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46272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46272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46272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46272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46272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46272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46272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46272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46272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46272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46272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46272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46272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46272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46272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46272</v>
      </c>
      <c r="F39" t="inlineStr">
        <is>
          <t>VÄSTRA GÖTALANDS LÄN</t>
        </is>
      </c>
      <c r="G39" t="inlineStr">
        <is>
          <t>SKARA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46272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46272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46272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46272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46272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20470-2024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45435</v>
      </c>
      <c r="E45" s="1" t="n">
        <v>46272</v>
      </c>
      <c r="F45" t="inlineStr">
        <is>
          <t>VÄSTRA GÖTALANDS LÄN</t>
        </is>
      </c>
      <c r="G45" t="inlineStr">
        <is>
          <t>SKARA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46272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46272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31128-2023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45113</v>
      </c>
      <c r="E48" s="1" t="n">
        <v>46272</v>
      </c>
      <c r="F48" t="inlineStr">
        <is>
          <t>VÄSTRA GÖTALANDS LÄN</t>
        </is>
      </c>
      <c r="G48" t="inlineStr">
        <is>
          <t>SKARA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46272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46272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46272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46272</v>
      </c>
      <c r="F52" t="inlineStr">
        <is>
          <t>VÄSTRA GÖTALANDS LÄN</t>
        </is>
      </c>
      <c r="G52" t="inlineStr">
        <is>
          <t>SKARA</t>
        </is>
      </c>
      <c r="H52" t="inlineStr">
        <is>
          <t>Sveaskog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25153-2024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45462</v>
      </c>
      <c r="E53" s="1" t="n">
        <v>46272</v>
      </c>
      <c r="F53" t="inlineStr">
        <is>
          <t>VÄSTRA GÖTALANDS LÄN</t>
        </is>
      </c>
      <c r="G53" t="inlineStr">
        <is>
          <t>SKARA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14844-2024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45398</v>
      </c>
      <c r="E54" s="1" t="n">
        <v>46272</v>
      </c>
      <c r="F54" t="inlineStr">
        <is>
          <t>VÄSTRA GÖTALANDS LÄN</t>
        </is>
      </c>
      <c r="G54" t="inlineStr">
        <is>
          <t>SKARA</t>
        </is>
      </c>
      <c r="H54" t="inlineStr">
        <is>
          <t>Kommuner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45824</v>
      </c>
      <c r="E55" s="1" t="n">
        <v>46272</v>
      </c>
      <c r="F55" t="inlineStr">
        <is>
          <t>VÄSTRA GÖTALANDS LÄN</t>
        </is>
      </c>
      <c r="G55" t="inlineStr">
        <is>
          <t>SKARA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45309</v>
      </c>
      <c r="E56" s="1" t="n">
        <v>46272</v>
      </c>
      <c r="F56" t="inlineStr">
        <is>
          <t>VÄSTRA GÖTALANDS LÄN</t>
        </is>
      </c>
      <c r="G56" t="inlineStr">
        <is>
          <t>SKARA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25219-2025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45800</v>
      </c>
      <c r="E57" s="1" t="n">
        <v>46272</v>
      </c>
      <c r="F57" t="inlineStr">
        <is>
          <t>VÄSTRA GÖTALANDS LÄN</t>
        </is>
      </c>
      <c r="G57" t="inlineStr">
        <is>
          <t>SKARA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46272</v>
      </c>
      <c r="F58" t="inlineStr">
        <is>
          <t>VÄSTRA GÖTALANDS LÄN</t>
        </is>
      </c>
      <c r="G58" t="inlineStr">
        <is>
          <t>SKARA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46272</v>
      </c>
      <c r="F59" t="inlineStr">
        <is>
          <t>VÄSTRA GÖTALANDS LÄN</t>
        </is>
      </c>
      <c r="G59" t="inlineStr">
        <is>
          <t>SKARA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46272</v>
      </c>
      <c r="F60" t="inlineStr">
        <is>
          <t>VÄSTRA GÖTALANDS LÄN</t>
        </is>
      </c>
      <c r="G60" t="inlineStr">
        <is>
          <t>SKARA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46272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46272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46272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3144-2023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44946</v>
      </c>
      <c r="E64" s="1" t="n">
        <v>46272</v>
      </c>
      <c r="F64" t="inlineStr">
        <is>
          <t>VÄSTRA GÖTALANDS LÄN</t>
        </is>
      </c>
      <c r="G64" t="inlineStr">
        <is>
          <t>SKARA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46272</v>
      </c>
      <c r="F65" t="inlineStr">
        <is>
          <t>VÄSTRA GÖTALANDS LÄN</t>
        </is>
      </c>
      <c r="G65" t="inlineStr">
        <is>
          <t>SKARA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46272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46272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28041-2025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45817</v>
      </c>
      <c r="E68" s="1" t="n">
        <v>46272</v>
      </c>
      <c r="F68" t="inlineStr">
        <is>
          <t>VÄSTRA GÖTALANDS LÄN</t>
        </is>
      </c>
      <c r="G68" t="inlineStr">
        <is>
          <t>SKARA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46272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45890</v>
      </c>
      <c r="E70" s="1" t="n">
        <v>46272</v>
      </c>
      <c r="F70" t="inlineStr">
        <is>
          <t>VÄSTRA GÖTALANDS LÄN</t>
        </is>
      </c>
      <c r="G70" t="inlineStr">
        <is>
          <t>SKARA</t>
        </is>
      </c>
      <c r="H70" t="inlineStr">
        <is>
          <t>Sveaskog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45469</v>
      </c>
      <c r="E71" s="1" t="n">
        <v>46272</v>
      </c>
      <c r="F71" t="inlineStr">
        <is>
          <t>VÄSTRA GÖTALANDS LÄN</t>
        </is>
      </c>
      <c r="G71" t="inlineStr">
        <is>
          <t>SKARA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46272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46272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46272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44819-2025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46272</v>
      </c>
      <c r="F75" t="inlineStr">
        <is>
          <t>VÄSTRA GÖTALANDS LÄN</t>
        </is>
      </c>
      <c r="G75" t="inlineStr">
        <is>
          <t>SKARA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46272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46272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46155-2025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46272</v>
      </c>
      <c r="F78" t="inlineStr">
        <is>
          <t>VÄSTRA GÖTALANDS LÄN</t>
        </is>
      </c>
      <c r="G78" t="inlineStr">
        <is>
          <t>SKARA</t>
        </is>
      </c>
      <c r="H78" t="inlineStr">
        <is>
          <t>Kyrkan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46272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46183-2025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46272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46203-2025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46272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47010-2025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45929</v>
      </c>
      <c r="E82" s="1" t="n">
        <v>46272</v>
      </c>
      <c r="F82" t="inlineStr">
        <is>
          <t>VÄSTRA GÖTALANDS LÄN</t>
        </is>
      </c>
      <c r="G82" t="inlineStr">
        <is>
          <t>SKARA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46272</v>
      </c>
      <c r="F83" t="inlineStr">
        <is>
          <t>VÄSTRA GÖTALANDS LÄN</t>
        </is>
      </c>
      <c r="G83" t="inlineStr">
        <is>
          <t>SKARA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60233-2023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45258</v>
      </c>
      <c r="E84" s="1" t="n">
        <v>46272</v>
      </c>
      <c r="F84" t="inlineStr">
        <is>
          <t>VÄSTRA GÖTALANDS LÄN</t>
        </is>
      </c>
      <c r="G84" t="inlineStr">
        <is>
          <t>SKARA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20721-2025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46272</v>
      </c>
      <c r="F85" t="inlineStr">
        <is>
          <t>VÄSTRA GÖTALANDS LÄN</t>
        </is>
      </c>
      <c r="G85" t="inlineStr">
        <is>
          <t>SKARA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45932</v>
      </c>
      <c r="E86" s="1" t="n">
        <v>46272</v>
      </c>
      <c r="F86" t="inlineStr">
        <is>
          <t>VÄSTRA GÖTALANDS LÄN</t>
        </is>
      </c>
      <c r="G86" t="inlineStr">
        <is>
          <t>SKARA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30515-2024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45492</v>
      </c>
      <c r="E87" s="1" t="n">
        <v>46272</v>
      </c>
      <c r="F87" t="inlineStr">
        <is>
          <t>VÄSTRA GÖTALANDS LÄN</t>
        </is>
      </c>
      <c r="G87" t="inlineStr">
        <is>
          <t>SKARA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44687</v>
      </c>
      <c r="E88" s="1" t="n">
        <v>46272</v>
      </c>
      <c r="F88" t="inlineStr">
        <is>
          <t>VÄSTRA GÖTALANDS LÄN</t>
        </is>
      </c>
      <c r="G88" t="inlineStr">
        <is>
          <t>SKARA</t>
        </is>
      </c>
      <c r="H88" t="inlineStr">
        <is>
          <t>Kommuner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46272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46272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50590-2025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45945</v>
      </c>
      <c r="E91" s="1" t="n">
        <v>46272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46272</v>
      </c>
      <c r="F92" t="inlineStr">
        <is>
          <t>VÄSTRA GÖTALANDS LÄN</t>
        </is>
      </c>
      <c r="G92" t="inlineStr">
        <is>
          <t>SKARA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46272</v>
      </c>
      <c r="F93" t="inlineStr">
        <is>
          <t>VÄSTRA GÖTALANDS LÄN</t>
        </is>
      </c>
      <c r="G93" t="inlineStr">
        <is>
          <t>SKARA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46052</v>
      </c>
      <c r="E94" s="1" t="n">
        <v>46272</v>
      </c>
      <c r="F94" t="inlineStr">
        <is>
          <t>VÄSTRA GÖTALANDS LÄN</t>
        </is>
      </c>
      <c r="G94" t="inlineStr">
        <is>
          <t>SKARA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46272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44970</v>
      </c>
      <c r="E96" s="1" t="n">
        <v>46272</v>
      </c>
      <c r="F96" t="inlineStr">
        <is>
          <t>VÄSTRA GÖTALANDS LÄN</t>
        </is>
      </c>
      <c r="G96" t="inlineStr">
        <is>
          <t>SKARA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44856</v>
      </c>
      <c r="E97" s="1" t="n">
        <v>46272</v>
      </c>
      <c r="F97" t="inlineStr">
        <is>
          <t>VÄSTRA GÖTALANDS LÄN</t>
        </is>
      </c>
      <c r="G97" t="inlineStr">
        <is>
          <t>SKARA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49002-2022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44860</v>
      </c>
      <c r="E98" s="1" t="n">
        <v>46272</v>
      </c>
      <c r="F98" t="inlineStr">
        <is>
          <t>VÄSTRA GÖTALANDS LÄN</t>
        </is>
      </c>
      <c r="G98" t="inlineStr">
        <is>
          <t>SKARA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46272</v>
      </c>
      <c r="F99" t="inlineStr">
        <is>
          <t>VÄSTRA GÖTALANDS LÄN</t>
        </is>
      </c>
      <c r="G99" t="inlineStr">
        <is>
          <t>SKARA</t>
        </is>
      </c>
      <c r="H99" t="inlineStr">
        <is>
          <t>Kyrkan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26091-2023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45091</v>
      </c>
      <c r="E100" s="1" t="n">
        <v>46272</v>
      </c>
      <c r="F100" t="inlineStr">
        <is>
          <t>VÄSTRA GÖTALANDS LÄN</t>
        </is>
      </c>
      <c r="G100" t="inlineStr">
        <is>
          <t>SKARA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45335</v>
      </c>
      <c r="E101" s="1" t="n">
        <v>46272</v>
      </c>
      <c r="F101" t="inlineStr">
        <is>
          <t>VÄSTRA GÖTALANDS LÄN</t>
        </is>
      </c>
      <c r="G101" t="inlineStr">
        <is>
          <t>SKARA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37032-2025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45874</v>
      </c>
      <c r="E102" s="1" t="n">
        <v>46272</v>
      </c>
      <c r="F102" t="inlineStr">
        <is>
          <t>VÄSTRA GÖTALANDS LÄN</t>
        </is>
      </c>
      <c r="G102" t="inlineStr">
        <is>
          <t>SKARA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46059</v>
      </c>
      <c r="E103" s="1" t="n">
        <v>46272</v>
      </c>
      <c r="F103" t="inlineStr">
        <is>
          <t>VÄSTRA GÖTALANDS LÄN</t>
        </is>
      </c>
      <c r="G103" t="inlineStr">
        <is>
          <t>SKARA</t>
        </is>
      </c>
      <c r="I103" t="n">
        <v>8.4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7530-2026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46272</v>
      </c>
      <c r="F104" t="inlineStr">
        <is>
          <t>VÄSTRA GÖTALANDS LÄN</t>
        </is>
      </c>
      <c r="G104" t="inlineStr">
        <is>
          <t>SKARA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46185-2023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46272</v>
      </c>
      <c r="F105" t="inlineStr">
        <is>
          <t>VÄSTRA GÖTALANDS LÄN</t>
        </is>
      </c>
      <c r="G105" t="inlineStr">
        <is>
          <t>SKARA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46272</v>
      </c>
      <c r="F106" t="inlineStr">
        <is>
          <t>VÄSTRA GÖTALANDS LÄN</t>
        </is>
      </c>
      <c r="G106" t="inlineStr">
        <is>
          <t>SKARA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56274-2025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46272</v>
      </c>
      <c r="F107" t="inlineStr">
        <is>
          <t>VÄSTRA GÖTALANDS LÄN</t>
        </is>
      </c>
      <c r="G107" t="inlineStr">
        <is>
          <t>SKARA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46272</v>
      </c>
      <c r="F108" t="inlineStr">
        <is>
          <t>VÄSTRA GÖTALANDS LÄN</t>
        </is>
      </c>
      <c r="G108" t="inlineStr">
        <is>
          <t>SKARA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46072</v>
      </c>
      <c r="E109" s="1" t="n">
        <v>46272</v>
      </c>
      <c r="F109" t="inlineStr">
        <is>
          <t>VÄSTRA GÖTALANDS LÄN</t>
        </is>
      </c>
      <c r="G109" t="inlineStr">
        <is>
          <t>SKARA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46272</v>
      </c>
      <c r="F110" t="inlineStr">
        <is>
          <t>VÄSTRA GÖTALANDS LÄN</t>
        </is>
      </c>
      <c r="G110" t="inlineStr">
        <is>
          <t>SKARA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30513-2024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45492</v>
      </c>
      <c r="E111" s="1" t="n">
        <v>46272</v>
      </c>
      <c r="F111" t="inlineStr">
        <is>
          <t>VÄSTRA GÖTALANDS LÄN</t>
        </is>
      </c>
      <c r="G111" t="inlineStr">
        <is>
          <t>SKARA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27980-2023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45098</v>
      </c>
      <c r="E112" s="1" t="n">
        <v>46272</v>
      </c>
      <c r="F112" t="inlineStr">
        <is>
          <t>VÄSTRA GÖTALANDS LÄN</t>
        </is>
      </c>
      <c r="G112" t="inlineStr">
        <is>
          <t>SKARA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44990</v>
      </c>
      <c r="E113" s="1" t="n">
        <v>46272</v>
      </c>
      <c r="F113" t="inlineStr">
        <is>
          <t>VÄSTRA GÖTALANDS LÄN</t>
        </is>
      </c>
      <c r="G113" t="inlineStr">
        <is>
          <t>SKARA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55211-2024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45621</v>
      </c>
      <c r="E114" s="1" t="n">
        <v>46272</v>
      </c>
      <c r="F114" t="inlineStr">
        <is>
          <t>VÄSTRA GÖTALANDS LÄN</t>
        </is>
      </c>
      <c r="G114" t="inlineStr">
        <is>
          <t>SKARA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56922-2024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45628</v>
      </c>
      <c r="E115" s="1" t="n">
        <v>46272</v>
      </c>
      <c r="F115" t="inlineStr">
        <is>
          <t>VÄSTRA GÖTALANDS LÄN</t>
        </is>
      </c>
      <c r="G115" t="inlineStr">
        <is>
          <t>SKARA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46272</v>
      </c>
      <c r="F116" t="inlineStr">
        <is>
          <t>VÄSTRA GÖTALANDS LÄN</t>
        </is>
      </c>
      <c r="G116" t="inlineStr">
        <is>
          <t>SKARA</t>
        </is>
      </c>
      <c r="H116" t="inlineStr">
        <is>
          <t>Sveaskog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25176-2023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45086</v>
      </c>
      <c r="E117" s="1" t="n">
        <v>46272</v>
      </c>
      <c r="F117" t="inlineStr">
        <is>
          <t>VÄSTRA GÖTALANDS LÄN</t>
        </is>
      </c>
      <c r="G117" t="inlineStr">
        <is>
          <t>SKARA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17705-2025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45758</v>
      </c>
      <c r="E118" s="1" t="n">
        <v>46272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17709-2025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45758</v>
      </c>
      <c r="E119" s="1" t="n">
        <v>46272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46272</v>
      </c>
      <c r="F120" t="inlineStr">
        <is>
          <t>VÄSTRA GÖTALANDS LÄN</t>
        </is>
      </c>
      <c r="G120" t="inlineStr">
        <is>
          <t>SKARA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46272</v>
      </c>
      <c r="F121" t="inlineStr">
        <is>
          <t>VÄSTRA GÖTALANDS LÄN</t>
        </is>
      </c>
      <c r="G121" t="inlineStr">
        <is>
          <t>SKARA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12332-2026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46087</v>
      </c>
      <c r="E122" s="1" t="n">
        <v>46272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46272</v>
      </c>
      <c r="F123" t="inlineStr">
        <is>
          <t>VÄSTRA GÖTALANDS LÄN</t>
        </is>
      </c>
      <c r="G123" t="inlineStr">
        <is>
          <t>SKARA</t>
        </is>
      </c>
      <c r="H123" t="inlineStr">
        <is>
          <t>Kyrkan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13276-2026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46272</v>
      </c>
      <c r="F124" t="inlineStr">
        <is>
          <t>VÄSTRA GÖTALANDS LÄN</t>
        </is>
      </c>
      <c r="G124" t="inlineStr">
        <is>
          <t>SKARA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46093</v>
      </c>
      <c r="E125" s="1" t="n">
        <v>46272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46272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14422-2026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46272</v>
      </c>
      <c r="F127" t="inlineStr">
        <is>
          <t>VÄSTRA GÖTALANDS LÄN</t>
        </is>
      </c>
      <c r="G127" t="inlineStr">
        <is>
          <t>SKARA</t>
        </is>
      </c>
      <c r="H127" t="inlineStr">
        <is>
          <t>Sveaskog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46101</v>
      </c>
      <c r="E128" s="1" t="n">
        <v>46272</v>
      </c>
      <c r="F128" t="inlineStr">
        <is>
          <t>VÄSTRA GÖTALANDS LÄN</t>
        </is>
      </c>
      <c r="G128" t="inlineStr">
        <is>
          <t>SKARA</t>
        </is>
      </c>
      <c r="I128" t="n">
        <v>5.9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14577-2026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46101</v>
      </c>
      <c r="E129" s="1" t="n">
        <v>46272</v>
      </c>
      <c r="F129" t="inlineStr">
        <is>
          <t>VÄSTRA GÖTALANDS LÄN</t>
        </is>
      </c>
      <c r="G129" t="inlineStr">
        <is>
          <t>SKARA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15425-2026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46106</v>
      </c>
      <c r="E130" s="1" t="n">
        <v>46272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15438-2026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46272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45299</v>
      </c>
      <c r="E132" s="1" t="n">
        <v>46272</v>
      </c>
      <c r="F132" t="inlineStr">
        <is>
          <t>VÄSTRA GÖTALANDS LÄN</t>
        </is>
      </c>
      <c r="G132" t="inlineStr">
        <is>
          <t>SKARA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46106</v>
      </c>
      <c r="E133" s="1" t="n">
        <v>46272</v>
      </c>
      <c r="F133" t="inlineStr">
        <is>
          <t>VÄSTRA GÖTALANDS LÄN</t>
        </is>
      </c>
      <c r="G133" t="inlineStr">
        <is>
          <t>SKARA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46272</v>
      </c>
      <c r="F134" t="inlineStr">
        <is>
          <t>VÄSTRA GÖTALANDS LÄN</t>
        </is>
      </c>
      <c r="G134" t="inlineStr">
        <is>
          <t>SKARA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46272</v>
      </c>
      <c r="F135" t="inlineStr">
        <is>
          <t>VÄSTRA GÖTALANDS LÄN</t>
        </is>
      </c>
      <c r="G135" t="inlineStr">
        <is>
          <t>SKARA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16199-2026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46272</v>
      </c>
      <c r="F136" t="inlineStr">
        <is>
          <t>VÄSTRA GÖTALANDS LÄN</t>
        </is>
      </c>
      <c r="G136" t="inlineStr">
        <is>
          <t>SKARA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16201-2026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46272</v>
      </c>
      <c r="F137" t="inlineStr">
        <is>
          <t>VÄSTRA GÖTALANDS LÄN</t>
        </is>
      </c>
      <c r="G137" t="inlineStr">
        <is>
          <t>SKARA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16198-2026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46272</v>
      </c>
      <c r="F138" t="inlineStr">
        <is>
          <t>VÄSTRA GÖTALANDS LÄN</t>
        </is>
      </c>
      <c r="G138" t="inlineStr">
        <is>
          <t>SKARA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16187-2026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46111</v>
      </c>
      <c r="E139" s="1" t="n">
        <v>46272</v>
      </c>
      <c r="F139" t="inlineStr">
        <is>
          <t>VÄSTRA GÖTALANDS LÄN</t>
        </is>
      </c>
      <c r="G139" t="inlineStr">
        <is>
          <t>SKARA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46272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17288-2026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46119</v>
      </c>
      <c r="E141" s="1" t="n">
        <v>46272</v>
      </c>
      <c r="F141" t="inlineStr">
        <is>
          <t>VÄSTRA GÖTALANDS LÄN</t>
        </is>
      </c>
      <c r="G141" t="inlineStr">
        <is>
          <t>SKARA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20870-2022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44701</v>
      </c>
      <c r="E142" s="1" t="n">
        <v>46272</v>
      </c>
      <c r="F142" t="inlineStr">
        <is>
          <t>VÄSTRA GÖTALANDS LÄN</t>
        </is>
      </c>
      <c r="G142" t="inlineStr">
        <is>
          <t>SKARA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44698</v>
      </c>
      <c r="E143" s="1" t="n">
        <v>46272</v>
      </c>
      <c r="F143" t="inlineStr">
        <is>
          <t>VÄSTRA GÖTALANDS LÄN</t>
        </is>
      </c>
      <c r="G143" t="inlineStr">
        <is>
          <t>SKARA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37036-2024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45539</v>
      </c>
      <c r="E144" s="1" t="n">
        <v>46272</v>
      </c>
      <c r="F144" t="inlineStr">
        <is>
          <t>VÄSTRA GÖTALANDS LÄN</t>
        </is>
      </c>
      <c r="G144" t="inlineStr">
        <is>
          <t>SKARA</t>
        </is>
      </c>
      <c r="H144" t="inlineStr">
        <is>
          <t>Sveaskog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46129</v>
      </c>
      <c r="E145" s="1" t="n">
        <v>46272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60840-2021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44497</v>
      </c>
      <c r="E146" s="1" t="n">
        <v>46272</v>
      </c>
      <c r="F146" t="inlineStr">
        <is>
          <t>VÄSTRA GÖTALANDS LÄN</t>
        </is>
      </c>
      <c r="G146" t="inlineStr">
        <is>
          <t>SKARA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52383-2023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46272</v>
      </c>
      <c r="F147" t="inlineStr">
        <is>
          <t>VÄSTRA GÖTALANDS LÄN</t>
        </is>
      </c>
      <c r="G147" t="inlineStr">
        <is>
          <t>SKARA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46272</v>
      </c>
      <c r="F148" t="inlineStr">
        <is>
          <t>VÄSTRA GÖTALANDS LÄN</t>
        </is>
      </c>
      <c r="G148" t="inlineStr">
        <is>
          <t>SKARA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16510-2024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46272</v>
      </c>
      <c r="F149" t="inlineStr">
        <is>
          <t>VÄSTRA GÖTALANDS LÄN</t>
        </is>
      </c>
      <c r="G149" t="inlineStr">
        <is>
          <t>SKARA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8781-2024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45356</v>
      </c>
      <c r="E150" s="1" t="n">
        <v>46272</v>
      </c>
      <c r="F150" t="inlineStr">
        <is>
          <t>VÄSTRA GÖTALANDS LÄN</t>
        </is>
      </c>
      <c r="G150" t="inlineStr">
        <is>
          <t>SKARA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45883</v>
      </c>
      <c r="E151" s="1" t="n">
        <v>46272</v>
      </c>
      <c r="F151" t="inlineStr">
        <is>
          <t>VÄSTRA GÖTALANDS LÄN</t>
        </is>
      </c>
      <c r="G151" t="inlineStr">
        <is>
          <t>SKARA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45763</v>
      </c>
      <c r="E152" s="1" t="n">
        <v>46272</v>
      </c>
      <c r="F152" t="inlineStr">
        <is>
          <t>VÄSTRA GÖTALANDS LÄN</t>
        </is>
      </c>
      <c r="G152" t="inlineStr">
        <is>
          <t>SKARA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45149</v>
      </c>
      <c r="E153" s="1" t="n">
        <v>46272</v>
      </c>
      <c r="F153" t="inlineStr">
        <is>
          <t>VÄSTRA GÖTALANDS LÄN</t>
        </is>
      </c>
      <c r="G153" t="inlineStr">
        <is>
          <t>SKARA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36045-2023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45149</v>
      </c>
      <c r="E154" s="1" t="n">
        <v>46272</v>
      </c>
      <c r="F154" t="inlineStr">
        <is>
          <t>VÄSTRA GÖTALANDS LÄN</t>
        </is>
      </c>
      <c r="G154" t="inlineStr">
        <is>
          <t>SKARA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25407-2025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46272</v>
      </c>
      <c r="F155" t="inlineStr">
        <is>
          <t>VÄSTRA GÖTALANDS LÄN</t>
        </is>
      </c>
      <c r="G155" t="inlineStr">
        <is>
          <t>SKARA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46272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46272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46272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46272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46272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46272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46272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18701-2022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44687</v>
      </c>
      <c r="E163" s="1" t="n">
        <v>46272</v>
      </c>
      <c r="F163" t="inlineStr">
        <is>
          <t>VÄSTRA GÖTALANDS LÄN</t>
        </is>
      </c>
      <c r="G163" t="inlineStr">
        <is>
          <t>SKARA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45043</v>
      </c>
      <c r="E164" s="1" t="n">
        <v>46272</v>
      </c>
      <c r="F164" t="inlineStr">
        <is>
          <t>VÄSTRA GÖTALANDS LÄN</t>
        </is>
      </c>
      <c r="G164" t="inlineStr">
        <is>
          <t>SKARA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46272</v>
      </c>
      <c r="F165" t="inlineStr">
        <is>
          <t>VÄSTRA GÖTALANDS LÄN</t>
        </is>
      </c>
      <c r="G165" t="inlineStr">
        <is>
          <t>SKARA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44957</v>
      </c>
      <c r="E166" s="1" t="n">
        <v>46272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15927-2023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45022</v>
      </c>
      <c r="E167" s="1" t="n">
        <v>46272</v>
      </c>
      <c r="F167" t="inlineStr">
        <is>
          <t>VÄSTRA GÖTALANDS LÄN</t>
        </is>
      </c>
      <c r="G167" t="inlineStr">
        <is>
          <t>SKARA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60654-2021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44496</v>
      </c>
      <c r="E168" s="1" t="n">
        <v>46272</v>
      </c>
      <c r="F168" t="inlineStr">
        <is>
          <t>VÄSTRA GÖTALANDS LÄN</t>
        </is>
      </c>
      <c r="G168" t="inlineStr">
        <is>
          <t>SKARA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27265-2023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45096</v>
      </c>
      <c r="E169" s="1" t="n">
        <v>46272</v>
      </c>
      <c r="F169" t="inlineStr">
        <is>
          <t>VÄSTRA GÖTALANDS LÄN</t>
        </is>
      </c>
      <c r="G169" t="inlineStr">
        <is>
          <t>SKARA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30069-2023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46272</v>
      </c>
      <c r="F170" t="inlineStr">
        <is>
          <t>VÄSTRA GÖTALANDS LÄN</t>
        </is>
      </c>
      <c r="G170" t="inlineStr">
        <is>
          <t>SKARA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30079-2023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45110</v>
      </c>
      <c r="E171" s="1" t="n">
        <v>46272</v>
      </c>
      <c r="F171" t="inlineStr">
        <is>
          <t>VÄSTRA GÖTALANDS LÄN</t>
        </is>
      </c>
      <c r="G171" t="inlineStr">
        <is>
          <t>SKARA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23457-2026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46163</v>
      </c>
      <c r="E172" s="1" t="n">
        <v>46272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23452-2026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46163</v>
      </c>
      <c r="E173" s="1" t="n">
        <v>46272</v>
      </c>
      <c r="F173" t="inlineStr">
        <is>
          <t>VÄSTRA GÖTALANDS LÄN</t>
        </is>
      </c>
      <c r="G173" t="inlineStr">
        <is>
          <t>SKARA</t>
        </is>
      </c>
      <c r="H173" t="inlineStr">
        <is>
          <t>Sveaskog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24145-2026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46168</v>
      </c>
      <c r="E174" s="1" t="n">
        <v>46272</v>
      </c>
      <c r="F174" t="inlineStr">
        <is>
          <t>VÄSTRA GÖTALANDS LÄN</t>
        </is>
      </c>
      <c r="G174" t="inlineStr">
        <is>
          <t>SKARA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24142-2026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46168</v>
      </c>
      <c r="E175" s="1" t="n">
        <v>46272</v>
      </c>
      <c r="F175" t="inlineStr">
        <is>
          <t>VÄSTRA GÖTALANDS LÄN</t>
        </is>
      </c>
      <c r="G175" t="inlineStr">
        <is>
          <t>SKARA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24143-2026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46272</v>
      </c>
      <c r="F176" t="inlineStr">
        <is>
          <t>VÄSTRA GÖTALANDS LÄN</t>
        </is>
      </c>
      <c r="G176" t="inlineStr">
        <is>
          <t>SKARA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45140</v>
      </c>
      <c r="E177" s="1" t="n">
        <v>46272</v>
      </c>
      <c r="F177" t="inlineStr">
        <is>
          <t>VÄSTRA GÖTALANDS LÄN</t>
        </is>
      </c>
      <c r="G177" t="inlineStr">
        <is>
          <t>SKARA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45314</v>
      </c>
      <c r="E178" s="1" t="n">
        <v>46272</v>
      </c>
      <c r="F178" t="inlineStr">
        <is>
          <t>VÄSTRA GÖTALANDS LÄN</t>
        </is>
      </c>
      <c r="G178" t="inlineStr">
        <is>
          <t>SKARA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44995</v>
      </c>
      <c r="E179" s="1" t="n">
        <v>46272</v>
      </c>
      <c r="F179" t="inlineStr">
        <is>
          <t>VÄSTRA GÖTALANDS LÄN</t>
        </is>
      </c>
      <c r="G179" t="inlineStr">
        <is>
          <t>SKARA</t>
        </is>
      </c>
      <c r="I179" t="n">
        <v>13.5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10913-2024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46272</v>
      </c>
      <c r="F180" t="inlineStr">
        <is>
          <t>VÄSTRA GÖTALANDS LÄN</t>
        </is>
      </c>
      <c r="G180" t="inlineStr">
        <is>
          <t>SKARA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27668-2022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46272</v>
      </c>
      <c r="F181" t="inlineStr">
        <is>
          <t>VÄSTRA GÖTALANDS LÄN</t>
        </is>
      </c>
      <c r="G181" t="inlineStr">
        <is>
          <t>SKARA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46272</v>
      </c>
      <c r="F182" t="inlineStr">
        <is>
          <t>VÄSTRA GÖTALANDS LÄN</t>
        </is>
      </c>
      <c r="G182" t="inlineStr">
        <is>
          <t>SKARA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46272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46272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46272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27478-2026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46189</v>
      </c>
      <c r="E186" s="1" t="n">
        <v>46272</v>
      </c>
      <c r="F186" t="inlineStr">
        <is>
          <t>VÄSTRA GÖTALANDS LÄN</t>
        </is>
      </c>
      <c r="G186" t="inlineStr">
        <is>
          <t>SKARA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26268-2023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46272</v>
      </c>
      <c r="F187" t="inlineStr">
        <is>
          <t>VÄSTRA GÖTALANDS LÄN</t>
        </is>
      </c>
      <c r="G187" t="inlineStr">
        <is>
          <t>SKARA</t>
        </is>
      </c>
      <c r="I187" t="n">
        <v>21.6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56849-2022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44894</v>
      </c>
      <c r="E188" s="1" t="n">
        <v>46272</v>
      </c>
      <c r="F188" t="inlineStr">
        <is>
          <t>VÄSTRA GÖTALANDS LÄN</t>
        </is>
      </c>
      <c r="G188" t="inlineStr">
        <is>
          <t>SKARA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46272</v>
      </c>
      <c r="F189" t="inlineStr">
        <is>
          <t>VÄSTRA GÖTALANDS LÄN</t>
        </is>
      </c>
      <c r="G189" t="inlineStr">
        <is>
          <t>SKARA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65124-2023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45288</v>
      </c>
      <c r="E190" s="1" t="n">
        <v>46272</v>
      </c>
      <c r="F190" t="inlineStr">
        <is>
          <t>VÄSTRA GÖTALANDS LÄN</t>
        </is>
      </c>
      <c r="G190" t="inlineStr">
        <is>
          <t>SKARA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52381-2023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45224</v>
      </c>
      <c r="E191" s="1" t="n">
        <v>46272</v>
      </c>
      <c r="F191" t="inlineStr">
        <is>
          <t>VÄSTRA GÖTALANDS LÄN</t>
        </is>
      </c>
      <c r="G191" t="inlineStr">
        <is>
          <t>SKARA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45448</v>
      </c>
      <c r="E192" s="1" t="n">
        <v>46272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41602-2023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45175</v>
      </c>
      <c r="E193" s="1" t="n">
        <v>46272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Kommuner</t>
        </is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30085-2023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45110</v>
      </c>
      <c r="E194" s="1" t="n">
        <v>46272</v>
      </c>
      <c r="F194" t="inlineStr">
        <is>
          <t>VÄSTRA GÖTALANDS LÄN</t>
        </is>
      </c>
      <c r="G194" t="inlineStr">
        <is>
          <t>SKARA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33190-2026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46246</v>
      </c>
      <c r="E195" s="1" t="n">
        <v>46272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46246</v>
      </c>
      <c r="E196" s="1" t="n">
        <v>46272</v>
      </c>
      <c r="F196" t="inlineStr">
        <is>
          <t>VÄSTRA GÖTALANDS LÄN</t>
        </is>
      </c>
      <c r="G196" t="inlineStr">
        <is>
          <t>SKARA</t>
        </is>
      </c>
      <c r="H196" t="inlineStr">
        <is>
          <t>Sveaskog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46247</v>
      </c>
      <c r="E197" s="1" t="n">
        <v>46272</v>
      </c>
      <c r="F197" t="inlineStr">
        <is>
          <t>VÄSTRA GÖTALANDS LÄN</t>
        </is>
      </c>
      <c r="G197" t="inlineStr">
        <is>
          <t>SKARA</t>
        </is>
      </c>
      <c r="H197" t="inlineStr">
        <is>
          <t>Sveaskog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32668-2024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45514</v>
      </c>
      <c r="E198" s="1" t="n">
        <v>46272</v>
      </c>
      <c r="F198" t="inlineStr">
        <is>
          <t>VÄSTRA GÖTALANDS LÄN</t>
        </is>
      </c>
      <c r="G198" t="inlineStr">
        <is>
          <t>SKARA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45156</v>
      </c>
      <c r="E199" s="1" t="n">
        <v>46272</v>
      </c>
      <c r="F199" t="inlineStr">
        <is>
          <t>VÄSTRA GÖTALANDS LÄN</t>
        </is>
      </c>
      <c r="G199" t="inlineStr">
        <is>
          <t>SKARA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44995</v>
      </c>
      <c r="E200" s="1" t="n">
        <v>46272</v>
      </c>
      <c r="F200" t="inlineStr">
        <is>
          <t>VÄSTRA GÖTALANDS LÄN</t>
        </is>
      </c>
      <c r="G200" t="inlineStr">
        <is>
          <t>SKARA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12889-2022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44642</v>
      </c>
      <c r="E201" s="1" t="n">
        <v>46272</v>
      </c>
      <c r="F201" t="inlineStr">
        <is>
          <t>VÄSTRA GÖTALANDS LÄN</t>
        </is>
      </c>
      <c r="G201" t="inlineStr">
        <is>
          <t>SKARA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30019-2023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45109</v>
      </c>
      <c r="E202" s="1" t="n">
        <v>46272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45313</v>
      </c>
      <c r="E203" s="1" t="n">
        <v>46272</v>
      </c>
      <c r="F203" t="inlineStr">
        <is>
          <t>VÄSTRA GÖTALANDS LÄN</t>
        </is>
      </c>
      <c r="G203" t="inlineStr">
        <is>
          <t>SKARA</t>
        </is>
      </c>
      <c r="I203" t="n">
        <v>11.7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65095-2023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45288</v>
      </c>
      <c r="E204" s="1" t="n">
        <v>46272</v>
      </c>
      <c r="F204" t="inlineStr">
        <is>
          <t>VÄSTRA GÖTALANDS LÄN</t>
        </is>
      </c>
      <c r="G204" t="inlineStr">
        <is>
          <t>SKARA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59841-2024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45639</v>
      </c>
      <c r="E205" s="1" t="n">
        <v>46272</v>
      </c>
      <c r="F205" t="inlineStr">
        <is>
          <t>VÄSTRA GÖTALANDS LÄN</t>
        </is>
      </c>
      <c r="G205" t="inlineStr">
        <is>
          <t>SKARA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45635</v>
      </c>
      <c r="E206" s="1" t="n">
        <v>46272</v>
      </c>
      <c r="F206" t="inlineStr">
        <is>
          <t>VÄSTRA GÖTALANDS LÄN</t>
        </is>
      </c>
      <c r="G206" t="inlineStr">
        <is>
          <t>SKARA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45595</v>
      </c>
      <c r="E207" s="1" t="n">
        <v>46272</v>
      </c>
      <c r="F207" t="inlineStr">
        <is>
          <t>VÄSTRA GÖTALANDS LÄN</t>
        </is>
      </c>
      <c r="G207" t="inlineStr">
        <is>
          <t>SKARA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46258</v>
      </c>
      <c r="E208" s="1" t="n">
        <v>46272</v>
      </c>
      <c r="F208" t="inlineStr">
        <is>
          <t>VÄSTRA GÖTALANDS LÄN</t>
        </is>
      </c>
      <c r="G208" t="inlineStr">
        <is>
          <t>SKARA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46272</v>
      </c>
      <c r="F209" t="inlineStr">
        <is>
          <t>VÄSTRA GÖTALANDS LÄN</t>
        </is>
      </c>
      <c r="G209" t="inlineStr">
        <is>
          <t>SKARA</t>
        </is>
      </c>
      <c r="H209" t="inlineStr">
        <is>
          <t>Kyrkan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24144-2026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46168</v>
      </c>
      <c r="E210" s="1" t="n">
        <v>46272</v>
      </c>
      <c r="F210" t="inlineStr">
        <is>
          <t>VÄSTRA GÖTALANDS LÄN</t>
        </is>
      </c>
      <c r="G210" t="inlineStr">
        <is>
          <t>SKARA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46272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46272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2026-09-07T02:09:54Z</dcterms:created>
  <dcterms:modified xmlns:dcterms="http://purl.org/dc/terms/" xmlns:xsi="http://www.w3.org/2001/XMLSchema-instance" xsi:type="dcterms:W3CDTF">2026-09-07T02:09:54Z</dcterms:modified>
</cp:coreProperties>
</file>