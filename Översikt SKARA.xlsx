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46278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46278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46278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46278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30080-2023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45110</v>
      </c>
      <c r="E16" s="1" t="n">
        <v>46278</v>
      </c>
      <c r="F16" t="inlineStr">
        <is>
          <t>VÄSTRA GÖTALANDS LÄN</t>
        </is>
      </c>
      <c r="G16" t="inlineStr">
        <is>
          <t>SKARA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HYPERLINK("https://klasma.github.io/Logging_1495/artfynd/A 30080-2023 artfynd.xlsx", "A 30080-2023")</f>
        <v/>
      </c>
      <c r="X16">
        <f>HYPERLINK("https://klasma.github.io/Logging_1495/kartor/A 30080-2023 karta.png", "A 30080-2023")</f>
        <v/>
      </c>
      <c r="Y16">
        <f>HYPERLINK("https://klasma.github.io/Logging_1495/kartor_geotiff/A 30080-2023 georefererad karta.tif", "A 30080-2023")</f>
        <v/>
      </c>
      <c r="AA16">
        <f>HYPERLINK("https://klasma.github.io/Logging_1495/klagomål/A 30080-2023 FSC-klagomål.docx", "A 30080-2023")</f>
        <v/>
      </c>
      <c r="AB16">
        <f>HYPERLINK("https://klasma.github.io/Logging_1495/klagomålsmail/A 30080-2023 FSC-klagomål mail.docx", "A 30080-2023")</f>
        <v/>
      </c>
      <c r="AC16">
        <f>HYPERLINK("https://klasma.github.io/Logging_1495/tillsyn/A 30080-2023 tillsynsbegäran.docx", "A 30080-2023")</f>
        <v/>
      </c>
      <c r="AD16">
        <f>HYPERLINK("https://klasma.github.io/Logging_1495/tillsynsmail/A 30080-2023 tillsynsbegäran mail.docx", "A 30080-2023")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46278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46278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46278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31736-2026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46227</v>
      </c>
      <c r="E20" s="1" t="n">
        <v>46278</v>
      </c>
      <c r="F20" t="inlineStr">
        <is>
          <t>VÄSTRA GÖTALANDS LÄN</t>
        </is>
      </c>
      <c r="G20" t="inlineStr">
        <is>
          <t>SKARA</t>
        </is>
      </c>
      <c r="I20" t="n">
        <v>2.2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Dvärghäxört</t>
        </is>
      </c>
      <c r="W20">
        <f>HYPERLINK("https://klasma.github.io/Logging_1495/artfynd/A 31736-2026 artfynd.xlsx", "A 31736-2026")</f>
        <v/>
      </c>
      <c r="X20">
        <f>HYPERLINK("https://klasma.github.io/Logging_1495/kartor/A 31736-2026 karta.png", "A 31736-2026")</f>
        <v/>
      </c>
      <c r="Y20">
        <f>HYPERLINK("https://klasma.github.io/Logging_1495/kartor_geotiff/A 31736-2026 georefererad karta.tif", "A 31736-2026")</f>
        <v/>
      </c>
      <c r="AA20">
        <f>HYPERLINK("https://klasma.github.io/Logging_1495/klagomål/A 31736-2026 FSC-klagomål.docx", "A 31736-2026")</f>
        <v/>
      </c>
      <c r="AB20">
        <f>HYPERLINK("https://klasma.github.io/Logging_1495/klagomålsmail/A 31736-2026 FSC-klagomål mail.docx", "A 31736-2026")</f>
        <v/>
      </c>
      <c r="AC20">
        <f>HYPERLINK("https://klasma.github.io/Logging_1495/tillsyn/A 31736-2026 tillsynsbegäran.docx", "A 31736-2026")</f>
        <v/>
      </c>
      <c r="AD20">
        <f>HYPERLINK("https://klasma.github.io/Logging_1495/tillsynsmail/A 31736-2026 tillsynsbegäran mail.docx", "A 31736-2026")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46278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46278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46278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46278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46278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46278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46278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46278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46278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46278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46278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46278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46278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46278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46278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46278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46278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46278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46278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46278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46278</v>
      </c>
      <c r="F41" t="inlineStr">
        <is>
          <t>VÄSTRA GÖTALANDS LÄN</t>
        </is>
      </c>
      <c r="G41" t="inlineStr">
        <is>
          <t>SKARA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14844-2024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46278</v>
      </c>
      <c r="F42" t="inlineStr">
        <is>
          <t>VÄSTRA GÖTALANDS LÄN</t>
        </is>
      </c>
      <c r="G42" t="inlineStr">
        <is>
          <t>SKARA</t>
        </is>
      </c>
      <c r="H42" t="inlineStr">
        <is>
          <t>Kommuner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48098-2022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44856</v>
      </c>
      <c r="E43" s="1" t="n">
        <v>46278</v>
      </c>
      <c r="F43" t="inlineStr">
        <is>
          <t>VÄSTRA GÖTALANDS LÄN</t>
        </is>
      </c>
      <c r="G43" t="inlineStr">
        <is>
          <t>SKARA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46278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46278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46278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46278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46278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46278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46278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46278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46278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46278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46278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46278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46278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46278</v>
      </c>
      <c r="F57" t="inlineStr">
        <is>
          <t>VÄSTRA GÖTALANDS LÄN</t>
        </is>
      </c>
      <c r="G57" t="inlineStr">
        <is>
          <t>SKARA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46278</v>
      </c>
      <c r="F58" t="inlineStr">
        <is>
          <t>VÄSTRA GÖTALANDS LÄN</t>
        </is>
      </c>
      <c r="G58" t="inlineStr">
        <is>
          <t>SKARA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46278</v>
      </c>
      <c r="F59" t="inlineStr">
        <is>
          <t>VÄSTRA GÖTALANDS LÄN</t>
        </is>
      </c>
      <c r="G59" t="inlineStr">
        <is>
          <t>SKARA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46278</v>
      </c>
      <c r="F60" t="inlineStr">
        <is>
          <t>VÄSTRA GÖTALANDS LÄN</t>
        </is>
      </c>
      <c r="G60" t="inlineStr">
        <is>
          <t>SKARA</t>
        </is>
      </c>
      <c r="I60" t="n">
        <v>5.9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46278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46278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46278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46278</v>
      </c>
      <c r="F64" t="inlineStr">
        <is>
          <t>VÄSTRA GÖTALANDS LÄN</t>
        </is>
      </c>
      <c r="G64" t="inlineStr">
        <is>
          <t>SKARA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46278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46278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46278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44953</v>
      </c>
      <c r="E68" s="1" t="n">
        <v>46278</v>
      </c>
      <c r="F68" t="inlineStr">
        <is>
          <t>VÄSTRA GÖTALANDS LÄN</t>
        </is>
      </c>
      <c r="G68" t="inlineStr">
        <is>
          <t>SKARA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33095-2025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45840</v>
      </c>
      <c r="E69" s="1" t="n">
        <v>46278</v>
      </c>
      <c r="F69" t="inlineStr">
        <is>
          <t>VÄSTRA GÖTALANDS LÄN</t>
        </is>
      </c>
      <c r="G69" t="inlineStr">
        <is>
          <t>SKARA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46278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46278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46278</v>
      </c>
      <c r="F72" t="inlineStr">
        <is>
          <t>VÄSTRA GÖTALANDS LÄN</t>
        </is>
      </c>
      <c r="G72" t="inlineStr">
        <is>
          <t>SKARA</t>
        </is>
      </c>
      <c r="H72" t="inlineStr">
        <is>
          <t>Kommuner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45258</v>
      </c>
      <c r="E73" s="1" t="n">
        <v>46278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46278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46278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46278</v>
      </c>
      <c r="F76" t="inlineStr">
        <is>
          <t>VÄSTRA GÖTALANDS LÄN</t>
        </is>
      </c>
      <c r="G76" t="inlineStr">
        <is>
          <t>SKARA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46278</v>
      </c>
      <c r="F77" t="inlineStr">
        <is>
          <t>VÄSTRA GÖTALANDS LÄN</t>
        </is>
      </c>
      <c r="G77" t="inlineStr">
        <is>
          <t>SKARA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46278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46278</v>
      </c>
      <c r="F79" t="inlineStr">
        <is>
          <t>VÄSTRA GÖTALANDS LÄN</t>
        </is>
      </c>
      <c r="G79" t="inlineStr">
        <is>
          <t>SKARA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46278</v>
      </c>
      <c r="F80" t="inlineStr">
        <is>
          <t>VÄSTRA GÖTALANDS LÄN</t>
        </is>
      </c>
      <c r="G80" t="inlineStr">
        <is>
          <t>SKARA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46278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46278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46278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46278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46278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46278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44970</v>
      </c>
      <c r="E87" s="1" t="n">
        <v>46278</v>
      </c>
      <c r="F87" t="inlineStr">
        <is>
          <t>VÄSTRA GÖTALANDS LÄN</t>
        </is>
      </c>
      <c r="G87" t="inlineStr">
        <is>
          <t>SKARA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45932</v>
      </c>
      <c r="E88" s="1" t="n">
        <v>46278</v>
      </c>
      <c r="F88" t="inlineStr">
        <is>
          <t>VÄSTRA GÖTALANDS LÄN</t>
        </is>
      </c>
      <c r="G88" t="inlineStr">
        <is>
          <t>SKARA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45514</v>
      </c>
      <c r="E89" s="1" t="n">
        <v>46278</v>
      </c>
      <c r="F89" t="inlineStr">
        <is>
          <t>VÄSTRA GÖTALANDS LÄN</t>
        </is>
      </c>
      <c r="G89" t="inlineStr">
        <is>
          <t>SKARA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46278</v>
      </c>
      <c r="F90" t="inlineStr">
        <is>
          <t>VÄSTRA GÖTALANDS LÄN</t>
        </is>
      </c>
      <c r="G90" t="inlineStr">
        <is>
          <t>SKARA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12332-2026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46087</v>
      </c>
      <c r="E91" s="1" t="n">
        <v>46278</v>
      </c>
      <c r="F91" t="inlineStr">
        <is>
          <t>VÄSTRA GÖTALANDS LÄN</t>
        </is>
      </c>
      <c r="G91" t="inlineStr">
        <is>
          <t>SKARA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46278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46278</v>
      </c>
      <c r="F93" t="inlineStr">
        <is>
          <t>VÄSTRA GÖTALANDS LÄN</t>
        </is>
      </c>
      <c r="G93" t="inlineStr">
        <is>
          <t>SKARA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46278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46278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46278</v>
      </c>
      <c r="F96" t="inlineStr">
        <is>
          <t>VÄSTRA GÖTALANDS LÄN</t>
        </is>
      </c>
      <c r="G96" t="inlineStr">
        <is>
          <t>SKARA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46278</v>
      </c>
      <c r="F97" t="inlineStr">
        <is>
          <t>VÄSTRA GÖTALANDS LÄN</t>
        </is>
      </c>
      <c r="G97" t="inlineStr">
        <is>
          <t>SKARA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46278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44990</v>
      </c>
      <c r="E99" s="1" t="n">
        <v>46278</v>
      </c>
      <c r="F99" t="inlineStr">
        <is>
          <t>VÄSTRA GÖTALANDS LÄN</t>
        </is>
      </c>
      <c r="G99" t="inlineStr">
        <is>
          <t>SKARA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46278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44832</v>
      </c>
      <c r="E101" s="1" t="n">
        <v>46278</v>
      </c>
      <c r="F101" t="inlineStr">
        <is>
          <t>VÄSTRA GÖTALANDS LÄN</t>
        </is>
      </c>
      <c r="G101" t="inlineStr">
        <is>
          <t>SKARA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45091</v>
      </c>
      <c r="E102" s="1" t="n">
        <v>46278</v>
      </c>
      <c r="F102" t="inlineStr">
        <is>
          <t>VÄSTRA GÖTALANDS LÄN</t>
        </is>
      </c>
      <c r="G102" t="inlineStr">
        <is>
          <t>SKARA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46278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46278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46278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46278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46278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46278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46278</v>
      </c>
      <c r="F109" t="inlineStr">
        <is>
          <t>VÄSTRA GÖTALANDS LÄN</t>
        </is>
      </c>
      <c r="G109" t="inlineStr">
        <is>
          <t>SKARA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46278</v>
      </c>
      <c r="F110" t="inlineStr">
        <is>
          <t>VÄSTRA GÖTALANDS LÄN</t>
        </is>
      </c>
      <c r="G110" t="inlineStr">
        <is>
          <t>SKARA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46278</v>
      </c>
      <c r="F111" t="inlineStr">
        <is>
          <t>VÄSTRA GÖTALANDS LÄN</t>
        </is>
      </c>
      <c r="G111" t="inlineStr">
        <is>
          <t>SKARA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46278</v>
      </c>
      <c r="F112" t="inlineStr">
        <is>
          <t>VÄSTRA GÖTALANDS LÄN</t>
        </is>
      </c>
      <c r="G112" t="inlineStr">
        <is>
          <t>SKARA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45288</v>
      </c>
      <c r="E113" s="1" t="n">
        <v>46278</v>
      </c>
      <c r="F113" t="inlineStr">
        <is>
          <t>VÄSTRA GÖTALANDS LÄN</t>
        </is>
      </c>
      <c r="G113" t="inlineStr">
        <is>
          <t>SKARA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46278</v>
      </c>
      <c r="F114" t="inlineStr">
        <is>
          <t>VÄSTRA GÖTALANDS LÄN</t>
        </is>
      </c>
      <c r="G114" t="inlineStr">
        <is>
          <t>SKARA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46113</v>
      </c>
      <c r="E115" s="1" t="n">
        <v>46278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46278</v>
      </c>
      <c r="F116" t="inlineStr">
        <is>
          <t>VÄSTRA GÖTALANDS LÄN</t>
        </is>
      </c>
      <c r="G116" t="inlineStr">
        <is>
          <t>SKARA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45043</v>
      </c>
      <c r="E117" s="1" t="n">
        <v>46278</v>
      </c>
      <c r="F117" t="inlineStr">
        <is>
          <t>VÄSTRA GÖTALANDS LÄN</t>
        </is>
      </c>
      <c r="G117" t="inlineStr">
        <is>
          <t>SKARA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46278</v>
      </c>
      <c r="F118" t="inlineStr">
        <is>
          <t>VÄSTRA GÖTALANDS LÄN</t>
        </is>
      </c>
      <c r="G118" t="inlineStr">
        <is>
          <t>SKARA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46278</v>
      </c>
      <c r="F119" t="inlineStr">
        <is>
          <t>VÄSTRA GÖTALANDS LÄN</t>
        </is>
      </c>
      <c r="G119" t="inlineStr">
        <is>
          <t>SKARA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46278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42301-2023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46278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45492</v>
      </c>
      <c r="E122" s="1" t="n">
        <v>46278</v>
      </c>
      <c r="F122" t="inlineStr">
        <is>
          <t>VÄSTRA GÖTALANDS LÄN</t>
        </is>
      </c>
      <c r="G122" t="inlineStr">
        <is>
          <t>SKARA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46278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44908</v>
      </c>
      <c r="E124" s="1" t="n">
        <v>46278</v>
      </c>
      <c r="F124" t="inlineStr">
        <is>
          <t>VÄSTRA GÖTALANDS LÄN</t>
        </is>
      </c>
      <c r="G124" t="inlineStr">
        <is>
          <t>SKARA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46278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46278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46278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46278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46278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Kyrkan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45883</v>
      </c>
      <c r="E130" s="1" t="n">
        <v>46278</v>
      </c>
      <c r="F130" t="inlineStr">
        <is>
          <t>VÄSTRA GÖTALANDS LÄN</t>
        </is>
      </c>
      <c r="G130" t="inlineStr">
        <is>
          <t>SKARA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46278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46278</v>
      </c>
      <c r="F132" t="inlineStr">
        <is>
          <t>VÄSTRA GÖTALANDS LÄN</t>
        </is>
      </c>
      <c r="G132" t="inlineStr">
        <is>
          <t>SKARA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46278</v>
      </c>
      <c r="F133" t="inlineStr">
        <is>
          <t>VÄSTRA GÖTALANDS LÄN</t>
        </is>
      </c>
      <c r="G133" t="inlineStr">
        <is>
          <t>SKARA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46278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46278</v>
      </c>
      <c r="F135" t="inlineStr">
        <is>
          <t>VÄSTRA GÖTALANDS LÄN</t>
        </is>
      </c>
      <c r="G135" t="inlineStr">
        <is>
          <t>SKARA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46278</v>
      </c>
      <c r="F136" t="inlineStr">
        <is>
          <t>VÄSTRA GÖTALANDS LÄN</t>
        </is>
      </c>
      <c r="G136" t="inlineStr">
        <is>
          <t>SKARA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46278</v>
      </c>
      <c r="F137" t="inlineStr">
        <is>
          <t>VÄSTRA GÖTALANDS LÄN</t>
        </is>
      </c>
      <c r="G137" t="inlineStr">
        <is>
          <t>SKARA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46278</v>
      </c>
      <c r="F138" t="inlineStr">
        <is>
          <t>VÄSTRA GÖTALANDS LÄN</t>
        </is>
      </c>
      <c r="G138" t="inlineStr">
        <is>
          <t>SKARA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45492</v>
      </c>
      <c r="E139" s="1" t="n">
        <v>46278</v>
      </c>
      <c r="F139" t="inlineStr">
        <is>
          <t>VÄSTRA GÖTALANDS LÄN</t>
        </is>
      </c>
      <c r="G139" t="inlineStr">
        <is>
          <t>SKARA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46278</v>
      </c>
      <c r="F140" t="inlineStr">
        <is>
          <t>VÄSTRA GÖTALANDS LÄN</t>
        </is>
      </c>
      <c r="G140" t="inlineStr">
        <is>
          <t>SKARA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46278</v>
      </c>
      <c r="F141" t="inlineStr">
        <is>
          <t>VÄSTRA GÖTALANDS LÄN</t>
        </is>
      </c>
      <c r="G141" t="inlineStr">
        <is>
          <t>SKARA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46278</v>
      </c>
      <c r="F142" t="inlineStr">
        <is>
          <t>VÄSTRA GÖTALANDS LÄN</t>
        </is>
      </c>
      <c r="G142" t="inlineStr">
        <is>
          <t>SKARA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46278</v>
      </c>
      <c r="F143" t="inlineStr">
        <is>
          <t>VÄSTRA GÖTALANDS LÄN</t>
        </is>
      </c>
      <c r="G143" t="inlineStr">
        <is>
          <t>SKARA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46278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Kommuner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46278</v>
      </c>
      <c r="F145" t="inlineStr">
        <is>
          <t>VÄSTRA GÖTALANDS LÄN</t>
        </is>
      </c>
      <c r="G145" t="inlineStr">
        <is>
          <t>SKARA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46278</v>
      </c>
      <c r="F146" t="inlineStr">
        <is>
          <t>VÄSTRA GÖTALANDS LÄN</t>
        </is>
      </c>
      <c r="G146" t="inlineStr">
        <is>
          <t>SKARA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46278</v>
      </c>
      <c r="F147" t="inlineStr">
        <is>
          <t>VÄSTRA GÖTALANDS LÄN</t>
        </is>
      </c>
      <c r="G147" t="inlineStr">
        <is>
          <t>SKARA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46278</v>
      </c>
      <c r="F148" t="inlineStr">
        <is>
          <t>VÄSTRA GÖTALANDS LÄN</t>
        </is>
      </c>
      <c r="G148" t="inlineStr">
        <is>
          <t>SKARA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46278</v>
      </c>
      <c r="F149" t="inlineStr">
        <is>
          <t>VÄSTRA GÖTALANDS LÄN</t>
        </is>
      </c>
      <c r="G149" t="inlineStr">
        <is>
          <t>SKARA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46278</v>
      </c>
      <c r="F150" t="inlineStr">
        <is>
          <t>VÄSTRA GÖTALANDS LÄN</t>
        </is>
      </c>
      <c r="G150" t="inlineStr">
        <is>
          <t>SKARA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46278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46278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46278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46163</v>
      </c>
      <c r="E154" s="1" t="n">
        <v>46278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46168</v>
      </c>
      <c r="E155" s="1" t="n">
        <v>46278</v>
      </c>
      <c r="F155" t="inlineStr">
        <is>
          <t>VÄSTRA GÖTALANDS LÄN</t>
        </is>
      </c>
      <c r="G155" t="inlineStr">
        <is>
          <t>SKARA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46168</v>
      </c>
      <c r="E156" s="1" t="n">
        <v>46278</v>
      </c>
      <c r="F156" t="inlineStr">
        <is>
          <t>VÄSTRA GÖTALANDS LÄN</t>
        </is>
      </c>
      <c r="G156" t="inlineStr">
        <is>
          <t>SKARA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46278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46168</v>
      </c>
      <c r="E158" s="1" t="n">
        <v>46278</v>
      </c>
      <c r="F158" t="inlineStr">
        <is>
          <t>VÄSTRA GÖTALANDS LÄN</t>
        </is>
      </c>
      <c r="G158" t="inlineStr">
        <is>
          <t>SKARA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46278</v>
      </c>
      <c r="F159" t="inlineStr">
        <is>
          <t>VÄSTRA GÖTALANDS LÄN</t>
        </is>
      </c>
      <c r="G159" t="inlineStr">
        <is>
          <t>SKARA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46278</v>
      </c>
      <c r="F160" t="inlineStr">
        <is>
          <t>VÄSTRA GÖTALANDS LÄN</t>
        </is>
      </c>
      <c r="G160" t="inlineStr">
        <is>
          <t>SKARA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46278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46278</v>
      </c>
      <c r="F162" t="inlineStr">
        <is>
          <t>VÄSTRA GÖTALANDS LÄN</t>
        </is>
      </c>
      <c r="G162" t="inlineStr">
        <is>
          <t>SKARA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46278</v>
      </c>
      <c r="F163" t="inlineStr">
        <is>
          <t>VÄSTRA GÖTALANDS LÄN</t>
        </is>
      </c>
      <c r="G163" t="inlineStr">
        <is>
          <t>SKARA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46278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27478-2026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46189</v>
      </c>
      <c r="E165" s="1" t="n">
        <v>46278</v>
      </c>
      <c r="F165" t="inlineStr">
        <is>
          <t>VÄSTRA GÖTALANDS LÄN</t>
        </is>
      </c>
      <c r="G165" t="inlineStr">
        <is>
          <t>SKARA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46278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46278</v>
      </c>
      <c r="F167" t="inlineStr">
        <is>
          <t>VÄSTRA GÖTALANDS LÄN</t>
        </is>
      </c>
      <c r="G167" t="inlineStr">
        <is>
          <t>SKARA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46190-2023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45196</v>
      </c>
      <c r="E168" s="1" t="n">
        <v>46278</v>
      </c>
      <c r="F168" t="inlineStr">
        <is>
          <t>VÄSTRA GÖTALANDS LÄN</t>
        </is>
      </c>
      <c r="G168" t="inlineStr">
        <is>
          <t>SKARA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44827</v>
      </c>
      <c r="E169" s="1" t="n">
        <v>46278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46278</v>
      </c>
      <c r="F170" t="inlineStr">
        <is>
          <t>VÄSTRA GÖTALANDS LÄN</t>
        </is>
      </c>
      <c r="G170" t="inlineStr">
        <is>
          <t>SKARA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45687</v>
      </c>
      <c r="E171" s="1" t="n">
        <v>46278</v>
      </c>
      <c r="F171" t="inlineStr">
        <is>
          <t>VÄSTRA GÖTALANDS LÄN</t>
        </is>
      </c>
      <c r="G171" t="inlineStr">
        <is>
          <t>SKARA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46278</v>
      </c>
      <c r="F172" t="inlineStr">
        <is>
          <t>VÄSTRA GÖTALANDS LÄN</t>
        </is>
      </c>
      <c r="G172" t="inlineStr">
        <is>
          <t>SKARA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46278</v>
      </c>
      <c r="F173" t="inlineStr">
        <is>
          <t>VÄSTRA GÖTALANDS LÄN</t>
        </is>
      </c>
      <c r="G173" t="inlineStr">
        <is>
          <t>SKARA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46278</v>
      </c>
      <c r="F174" t="inlineStr">
        <is>
          <t>VÄSTRA GÖTALANDS LÄN</t>
        </is>
      </c>
      <c r="G174" t="inlineStr">
        <is>
          <t>SKARA</t>
        </is>
      </c>
      <c r="I174" t="n">
        <v>13.5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46278</v>
      </c>
      <c r="F175" t="inlineStr">
        <is>
          <t>VÄSTRA GÖTALANDS LÄN</t>
        </is>
      </c>
      <c r="G175" t="inlineStr">
        <is>
          <t>SKARA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46278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46278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46278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Kyrkan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46278</v>
      </c>
      <c r="F179" t="inlineStr">
        <is>
          <t>VÄSTRA GÖTALANDS LÄN</t>
        </is>
      </c>
      <c r="G179" t="inlineStr">
        <is>
          <t>SKARA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46278</v>
      </c>
      <c r="F180" t="inlineStr">
        <is>
          <t>VÄSTRA GÖTALANDS LÄN</t>
        </is>
      </c>
      <c r="G180" t="inlineStr">
        <is>
          <t>SKARA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46278</v>
      </c>
      <c r="F181" t="inlineStr">
        <is>
          <t>VÄSTRA GÖTALANDS LÄN</t>
        </is>
      </c>
      <c r="G181" t="inlineStr">
        <is>
          <t>SKARA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46247</v>
      </c>
      <c r="E182" s="1" t="n">
        <v>46278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46278</v>
      </c>
      <c r="F183" t="inlineStr">
        <is>
          <t>VÄSTRA GÖTALANDS LÄN</t>
        </is>
      </c>
      <c r="G183" t="inlineStr">
        <is>
          <t>SKARA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46278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46278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46278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46278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46278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46278</v>
      </c>
      <c r="F189" t="inlineStr">
        <is>
          <t>VÄSTRA GÖTALANDS LÄN</t>
        </is>
      </c>
      <c r="G189" t="inlineStr">
        <is>
          <t>SKARA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46278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46278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46278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46278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46203</v>
      </c>
      <c r="E194" s="1" t="n">
        <v>46278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Kyrkan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46278</v>
      </c>
      <c r="F195" t="inlineStr">
        <is>
          <t>VÄSTRA GÖTALANDS LÄN</t>
        </is>
      </c>
      <c r="G195" t="inlineStr">
        <is>
          <t>SKARA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46278</v>
      </c>
      <c r="F196" t="inlineStr">
        <is>
          <t>VÄSTRA GÖTALANDS LÄN</t>
        </is>
      </c>
      <c r="G196" t="inlineStr">
        <is>
          <t>SKARA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46278</v>
      </c>
      <c r="F197" t="inlineStr">
        <is>
          <t>VÄSTRA GÖTALANDS LÄN</t>
        </is>
      </c>
      <c r="G197" t="inlineStr">
        <is>
          <t>SKARA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46278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46278</v>
      </c>
      <c r="F199" t="inlineStr">
        <is>
          <t>VÄSTRA GÖTALANDS LÄN</t>
        </is>
      </c>
      <c r="G199" t="inlineStr">
        <is>
          <t>SKARA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46278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27668-2022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44743</v>
      </c>
      <c r="E201" s="1" t="n">
        <v>46278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46278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46278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46278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46278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46278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46278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46278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46278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46278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46278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46278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46278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2026-09-13T02:17:01Z</dcterms:created>
  <dcterms:modified xmlns:dcterms="http://purl.org/dc/terms/" xmlns:xsi="http://www.w3.org/2001/XMLSchema-instance" xsi:type="dcterms:W3CDTF">2026-09-13T02:17:01Z</dcterms:modified>
</cp:coreProperties>
</file>