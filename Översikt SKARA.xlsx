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46311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46311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46311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46311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46311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46311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46311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46311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46311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46311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46311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52041-2023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45223</v>
      </c>
      <c r="E15" s="1" t="n">
        <v>46311</v>
      </c>
      <c r="F15" t="inlineStr">
        <is>
          <t>VÄSTRA GÖTALANDS LÄN</t>
        </is>
      </c>
      <c r="G15" t="inlineStr">
        <is>
          <t>SKARA</t>
        </is>
      </c>
      <c r="I15" t="n">
        <v>5.9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HYPERLINK("https://klasma.github.io/Logging_1495/artfynd/A 52041-2023 artfynd.xlsx", "A 52041-2023")</f>
        <v/>
      </c>
      <c r="X15">
        <f>HYPERLINK("https://klasma.github.io/Logging_1495/kartor/A 52041-2023 karta.png", "A 52041-2023")</f>
        <v/>
      </c>
      <c r="Y15">
        <f>HYPERLINK("https://klasma.github.io/Logging_1495/kartor_geotiff/A 52041-2023 georefererad karta.tif", "A 52041-2023")</f>
        <v/>
      </c>
      <c r="AA15">
        <f>HYPERLINK("https://klasma.github.io/Logging_1495/klagomål/A 52041-2023 FSC-klagomål.docx", "A 52041-2023")</f>
        <v/>
      </c>
      <c r="AB15">
        <f>HYPERLINK("https://klasma.github.io/Logging_1495/klagomålsmail/A 52041-2023 FSC-klagomål mail.docx", "A 52041-2023")</f>
        <v/>
      </c>
      <c r="AC15">
        <f>HYPERLINK("https://klasma.github.io/Logging_1495/tillsyn/A 52041-2023 tillsynsbegäran.docx", "A 52041-2023")</f>
        <v/>
      </c>
      <c r="AD15">
        <f>HYPERLINK("https://klasma.github.io/Logging_1495/tillsynsmail/A 52041-2023 tillsynsbegäran mail.docx", "A 52041-2023")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46311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46311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55928-2025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46311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5.1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Motaggsvamp</t>
        </is>
      </c>
      <c r="W18">
        <f>HYPERLINK("https://klasma.github.io/Logging_1495/artfynd/A 55928-2025 artfynd.xlsx", "A 55928-2025")</f>
        <v/>
      </c>
      <c r="X18">
        <f>HYPERLINK("https://klasma.github.io/Logging_1495/kartor/A 55928-2025 karta.png", "A 55928-2025")</f>
        <v/>
      </c>
      <c r="Y18">
        <f>HYPERLINK("https://klasma.github.io/Logging_1495/kartor_geotiff/A 55928-2025 georefererad karta.tif", "A 55928-2025")</f>
        <v/>
      </c>
      <c r="AA18">
        <f>HYPERLINK("https://klasma.github.io/Logging_1495/klagomål/A 55928-2025 FSC-klagomål.docx", "A 55928-2025")</f>
        <v/>
      </c>
      <c r="AB18">
        <f>HYPERLINK("https://klasma.github.io/Logging_1495/klagomålsmail/A 55928-2025 FSC-klagomål mail.docx", "A 55928-2025")</f>
        <v/>
      </c>
      <c r="AC18">
        <f>HYPERLINK("https://klasma.github.io/Logging_1495/tillsyn/A 55928-2025 tillsynsbegäran.docx", "A 55928-2025")</f>
        <v/>
      </c>
      <c r="AD18">
        <f>HYPERLINK("https://klasma.github.io/Logging_1495/tillsynsmail/A 55928-2025 tillsynsbegäran mail.docx", "A 55928-2025")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46311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46311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46311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46311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46311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46311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30085-2023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45110</v>
      </c>
      <c r="E32" s="1" t="n">
        <v>46311</v>
      </c>
      <c r="F32" t="inlineStr">
        <is>
          <t>VÄSTRA GÖTALANDS LÄN</t>
        </is>
      </c>
      <c r="G32" t="inlineStr">
        <is>
          <t>SKARA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46311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46311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25219-2025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45800</v>
      </c>
      <c r="E35" s="1" t="n">
        <v>46311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46311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45043</v>
      </c>
      <c r="E37" s="1" t="n">
        <v>46311</v>
      </c>
      <c r="F37" t="inlineStr">
        <is>
          <t>VÄSTRA GÖTALANDS LÄN</t>
        </is>
      </c>
      <c r="G37" t="inlineStr">
        <is>
          <t>SKARA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46311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46311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46311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46311</v>
      </c>
      <c r="F41" t="inlineStr">
        <is>
          <t>VÄSTRA GÖTALANDS LÄN</t>
        </is>
      </c>
      <c r="G41" t="inlineStr">
        <is>
          <t>SKARA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14844-2024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46311</v>
      </c>
      <c r="F42" t="inlineStr">
        <is>
          <t>VÄSTRA GÖTALANDS LÄN</t>
        </is>
      </c>
      <c r="G42" t="inlineStr">
        <is>
          <t>SKARA</t>
        </is>
      </c>
      <c r="H42" t="inlineStr">
        <is>
          <t>Kommuner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48098-2022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44856</v>
      </c>
      <c r="E43" s="1" t="n">
        <v>46311</v>
      </c>
      <c r="F43" t="inlineStr">
        <is>
          <t>VÄSTRA GÖTALANDS LÄN</t>
        </is>
      </c>
      <c r="G43" t="inlineStr">
        <is>
          <t>SKARA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46311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30515-2024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45492</v>
      </c>
      <c r="E45" s="1" t="n">
        <v>46311</v>
      </c>
      <c r="F45" t="inlineStr">
        <is>
          <t>VÄSTRA GÖTALANDS LÄN</t>
        </is>
      </c>
      <c r="G45" t="inlineStr">
        <is>
          <t>SKARA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45817</v>
      </c>
      <c r="E46" s="1" t="n">
        <v>46311</v>
      </c>
      <c r="F46" t="inlineStr">
        <is>
          <t>VÄSTRA GÖTALANDS LÄN</t>
        </is>
      </c>
      <c r="G46" t="inlineStr">
        <is>
          <t>SKARA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44946</v>
      </c>
      <c r="E47" s="1" t="n">
        <v>46311</v>
      </c>
      <c r="F47" t="inlineStr">
        <is>
          <t>VÄSTRA GÖTALANDS LÄN</t>
        </is>
      </c>
      <c r="G47" t="inlineStr">
        <is>
          <t>SKARA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46311</v>
      </c>
      <c r="F48" t="inlineStr">
        <is>
          <t>VÄSTRA GÖTALANDS LÄN</t>
        </is>
      </c>
      <c r="G48" t="inlineStr">
        <is>
          <t>SKARA</t>
        </is>
      </c>
      <c r="H48" t="inlineStr">
        <is>
          <t>Sveaskog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46311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46311</v>
      </c>
      <c r="F50" t="inlineStr">
        <is>
          <t>VÄSTRA GÖTALANDS LÄN</t>
        </is>
      </c>
      <c r="G50" t="inlineStr">
        <is>
          <t>SKARA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46311</v>
      </c>
      <c r="F51" t="inlineStr">
        <is>
          <t>VÄSTRA GÖTALANDS LÄN</t>
        </is>
      </c>
      <c r="G51" t="inlineStr">
        <is>
          <t>SKARA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30083-2023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46311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46311</v>
      </c>
      <c r="F53" t="inlineStr">
        <is>
          <t>VÄSTRA GÖTALANDS LÄN</t>
        </is>
      </c>
      <c r="G53" t="inlineStr">
        <is>
          <t>SKARA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36045-2023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45149</v>
      </c>
      <c r="E54" s="1" t="n">
        <v>46311</v>
      </c>
      <c r="F54" t="inlineStr">
        <is>
          <t>VÄSTRA GÖTALANDS LÄN</t>
        </is>
      </c>
      <c r="G54" t="inlineStr">
        <is>
          <t>SKARA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46311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32844-2025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45839</v>
      </c>
      <c r="E56" s="1" t="n">
        <v>46311</v>
      </c>
      <c r="F56" t="inlineStr">
        <is>
          <t>VÄSTRA GÖTALANDS LÄN</t>
        </is>
      </c>
      <c r="G56" t="inlineStr">
        <is>
          <t>SKARA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32850-2025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45839</v>
      </c>
      <c r="E57" s="1" t="n">
        <v>46311</v>
      </c>
      <c r="F57" t="inlineStr">
        <is>
          <t>VÄSTRA GÖTALANDS LÄN</t>
        </is>
      </c>
      <c r="G57" t="inlineStr">
        <is>
          <t>SKARA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46311</v>
      </c>
      <c r="F58" t="inlineStr">
        <is>
          <t>VÄSTRA GÖTALANDS LÄN</t>
        </is>
      </c>
      <c r="G58" t="inlineStr">
        <is>
          <t>SKARA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33095-2025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45840</v>
      </c>
      <c r="E59" s="1" t="n">
        <v>46311</v>
      </c>
      <c r="F59" t="inlineStr">
        <is>
          <t>VÄSTRA GÖTALANDS LÄN</t>
        </is>
      </c>
      <c r="G59" t="inlineStr">
        <is>
          <t>SKARA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45288</v>
      </c>
      <c r="E60" s="1" t="n">
        <v>46311</v>
      </c>
      <c r="F60" t="inlineStr">
        <is>
          <t>VÄSTRA GÖTALANDS LÄN</t>
        </is>
      </c>
      <c r="G60" t="inlineStr">
        <is>
          <t>SKARA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30019-2023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45109</v>
      </c>
      <c r="E61" s="1" t="n">
        <v>46311</v>
      </c>
      <c r="F61" t="inlineStr">
        <is>
          <t>VÄSTRA GÖTALANDS LÄN</t>
        </is>
      </c>
      <c r="G61" t="inlineStr">
        <is>
          <t>SKARA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46311</v>
      </c>
      <c r="F62" t="inlineStr">
        <is>
          <t>VÄSTRA GÖTALANDS LÄN</t>
        </is>
      </c>
      <c r="G62" t="inlineStr">
        <is>
          <t>SKARA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30079-2023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46311</v>
      </c>
      <c r="F63" t="inlineStr">
        <is>
          <t>VÄSTRA GÖTALANDS LÄN</t>
        </is>
      </c>
      <c r="G63" t="inlineStr">
        <is>
          <t>SKARA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60654-2021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46311</v>
      </c>
      <c r="F64" t="inlineStr">
        <is>
          <t>VÄSTRA GÖTALANDS LÄN</t>
        </is>
      </c>
      <c r="G64" t="inlineStr">
        <is>
          <t>SKARA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46311</v>
      </c>
      <c r="F65" t="inlineStr">
        <is>
          <t>VÄSTRA GÖTALANDS LÄN</t>
        </is>
      </c>
      <c r="G65" t="inlineStr">
        <is>
          <t>SKARA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45469</v>
      </c>
      <c r="E66" s="1" t="n">
        <v>46311</v>
      </c>
      <c r="F66" t="inlineStr">
        <is>
          <t>VÄSTRA GÖTALANDS LÄN</t>
        </is>
      </c>
      <c r="G66" t="inlineStr">
        <is>
          <t>SKARA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45776</v>
      </c>
      <c r="E67" s="1" t="n">
        <v>46311</v>
      </c>
      <c r="F67" t="inlineStr">
        <is>
          <t>VÄSTRA GÖTALANDS LÄN</t>
        </is>
      </c>
      <c r="G67" t="inlineStr">
        <is>
          <t>SKARA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46311</v>
      </c>
      <c r="F68" t="inlineStr">
        <is>
          <t>VÄSTRA GÖTALANDS LÄN</t>
        </is>
      </c>
      <c r="G68" t="inlineStr">
        <is>
          <t>SKARA</t>
        </is>
      </c>
      <c r="H68" t="inlineStr">
        <is>
          <t>Kommuner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46311</v>
      </c>
      <c r="F69" t="inlineStr">
        <is>
          <t>VÄSTRA GÖTALANDS LÄN</t>
        </is>
      </c>
      <c r="G69" t="inlineStr">
        <is>
          <t>SKARA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60233-2023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45258</v>
      </c>
      <c r="E70" s="1" t="n">
        <v>46311</v>
      </c>
      <c r="F70" t="inlineStr">
        <is>
          <t>VÄSTRA GÖTALANDS LÄN</t>
        </is>
      </c>
      <c r="G70" t="inlineStr">
        <is>
          <t>SKARA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46311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39494-2025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46311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45469</v>
      </c>
      <c r="E73" s="1" t="n">
        <v>46311</v>
      </c>
      <c r="F73" t="inlineStr">
        <is>
          <t>VÄSTRA GÖTALANDS LÄN</t>
        </is>
      </c>
      <c r="G73" t="inlineStr">
        <is>
          <t>SKARA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46311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46311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46311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45086</v>
      </c>
      <c r="E77" s="1" t="n">
        <v>46311</v>
      </c>
      <c r="F77" t="inlineStr">
        <is>
          <t>VÄSTRA GÖTALANDS LÄN</t>
        </is>
      </c>
      <c r="G77" t="inlineStr">
        <is>
          <t>SKARA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46311</v>
      </c>
      <c r="F78" t="inlineStr">
        <is>
          <t>VÄSTRA GÖTALANDS LÄN</t>
        </is>
      </c>
      <c r="G78" t="inlineStr">
        <is>
          <t>SKARA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45492</v>
      </c>
      <c r="E79" s="1" t="n">
        <v>46311</v>
      </c>
      <c r="F79" t="inlineStr">
        <is>
          <t>VÄSTRA GÖTALANDS LÄN</t>
        </is>
      </c>
      <c r="G79" t="inlineStr">
        <is>
          <t>SKARA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46311</v>
      </c>
      <c r="F80" t="inlineStr">
        <is>
          <t>VÄSTRA GÖTALANDS LÄN</t>
        </is>
      </c>
      <c r="G80" t="inlineStr">
        <is>
          <t>SKARA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44587</v>
      </c>
      <c r="E81" s="1" t="n">
        <v>46311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46311</v>
      </c>
      <c r="F82" t="inlineStr">
        <is>
          <t>VÄSTRA GÖTALANDS LÄN</t>
        </is>
      </c>
      <c r="G82" t="inlineStr">
        <is>
          <t>SKARA</t>
        </is>
      </c>
      <c r="H82" t="inlineStr">
        <is>
          <t>Kommuner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46101</v>
      </c>
      <c r="E83" s="1" t="n">
        <v>46311</v>
      </c>
      <c r="F83" t="inlineStr">
        <is>
          <t>VÄSTRA GÖTALANDS LÄN</t>
        </is>
      </c>
      <c r="G83" t="inlineStr">
        <is>
          <t>SKARA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46100</v>
      </c>
      <c r="E84" s="1" t="n">
        <v>46311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46311</v>
      </c>
      <c r="F85" t="inlineStr">
        <is>
          <t>VÄSTRA GÖTALANDS LÄN</t>
        </is>
      </c>
      <c r="G85" t="inlineStr">
        <is>
          <t>SKARA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46311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45022</v>
      </c>
      <c r="E87" s="1" t="n">
        <v>46311</v>
      </c>
      <c r="F87" t="inlineStr">
        <is>
          <t>VÄSTRA GÖTALANDS LÄN</t>
        </is>
      </c>
      <c r="G87" t="inlineStr">
        <is>
          <t>SKARA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46311</v>
      </c>
      <c r="F88" t="inlineStr">
        <is>
          <t>VÄSTRA GÖTALANDS LÄN</t>
        </is>
      </c>
      <c r="G88" t="inlineStr">
        <is>
          <t>SKARA</t>
        </is>
      </c>
      <c r="H88" t="inlineStr">
        <is>
          <t>Sveaskog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46311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46311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46108</v>
      </c>
      <c r="E91" s="1" t="n">
        <v>46311</v>
      </c>
      <c r="F91" t="inlineStr">
        <is>
          <t>VÄSTRA GÖTALANDS LÄN</t>
        </is>
      </c>
      <c r="G91" t="inlineStr">
        <is>
          <t>SKARA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45408</v>
      </c>
      <c r="E92" s="1" t="n">
        <v>46311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46311</v>
      </c>
      <c r="F93" t="inlineStr">
        <is>
          <t>VÄSTRA GÖTALANDS LÄN</t>
        </is>
      </c>
      <c r="G93" t="inlineStr">
        <is>
          <t>SKARA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46311</v>
      </c>
      <c r="F94" t="inlineStr">
        <is>
          <t>VÄSTRA GÖTALANDS LÄN</t>
        </is>
      </c>
      <c r="G94" t="inlineStr">
        <is>
          <t>SKARA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45469</v>
      </c>
      <c r="E95" s="1" t="n">
        <v>46311</v>
      </c>
      <c r="F95" t="inlineStr">
        <is>
          <t>VÄSTRA GÖTALANDS LÄN</t>
        </is>
      </c>
      <c r="G95" t="inlineStr">
        <is>
          <t>SKARA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46311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45469</v>
      </c>
      <c r="E97" s="1" t="n">
        <v>46311</v>
      </c>
      <c r="F97" t="inlineStr">
        <is>
          <t>VÄSTRA GÖTALANDS LÄN</t>
        </is>
      </c>
      <c r="G97" t="inlineStr">
        <is>
          <t>SKARA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46311</v>
      </c>
      <c r="F98" t="inlineStr">
        <is>
          <t>VÄSTRA GÖTALANDS LÄN</t>
        </is>
      </c>
      <c r="G98" t="inlineStr">
        <is>
          <t>SKARA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46113</v>
      </c>
      <c r="E99" s="1" t="n">
        <v>46311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46311</v>
      </c>
      <c r="F100" t="inlineStr">
        <is>
          <t>VÄSTRA GÖTALANDS LÄN</t>
        </is>
      </c>
      <c r="G100" t="inlineStr">
        <is>
          <t>SKARA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46311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44973</v>
      </c>
      <c r="E102" s="1" t="n">
        <v>46311</v>
      </c>
      <c r="F102" t="inlineStr">
        <is>
          <t>VÄSTRA GÖTALANDS LÄN</t>
        </is>
      </c>
      <c r="G102" t="inlineStr">
        <is>
          <t>SKARA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46311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46311</v>
      </c>
      <c r="F104" t="inlineStr">
        <is>
          <t>VÄSTRA GÖTALANDS LÄN</t>
        </is>
      </c>
      <c r="G104" t="inlineStr">
        <is>
          <t>SKARA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46311</v>
      </c>
      <c r="F105" t="inlineStr">
        <is>
          <t>VÄSTRA GÖTALANDS LÄN</t>
        </is>
      </c>
      <c r="G105" t="inlineStr">
        <is>
          <t>SKARA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46311</v>
      </c>
      <c r="F106" t="inlineStr">
        <is>
          <t>VÄSTRA GÖTALANDS LÄN</t>
        </is>
      </c>
      <c r="G106" t="inlineStr">
        <is>
          <t>SKARA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46311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46311</v>
      </c>
      <c r="F108" t="inlineStr">
        <is>
          <t>VÄSTRA GÖTALANDS LÄN</t>
        </is>
      </c>
      <c r="G108" t="inlineStr">
        <is>
          <t>SKARA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46311</v>
      </c>
      <c r="F109" t="inlineStr">
        <is>
          <t>VÄSTRA GÖTALANDS LÄN</t>
        </is>
      </c>
      <c r="G109" t="inlineStr">
        <is>
          <t>SKARA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46311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46311</v>
      </c>
      <c r="F111" t="inlineStr">
        <is>
          <t>VÄSTRA GÖTALANDS LÄN</t>
        </is>
      </c>
      <c r="G111" t="inlineStr">
        <is>
          <t>SKARA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44894</v>
      </c>
      <c r="E112" s="1" t="n">
        <v>46311</v>
      </c>
      <c r="F112" t="inlineStr">
        <is>
          <t>VÄSTRA GÖTALANDS LÄN</t>
        </is>
      </c>
      <c r="G112" t="inlineStr">
        <is>
          <t>SKARA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46311</v>
      </c>
      <c r="F113" t="inlineStr">
        <is>
          <t>VÄSTRA GÖTALANDS LÄN</t>
        </is>
      </c>
      <c r="G113" t="inlineStr">
        <is>
          <t>SKARA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45713</v>
      </c>
      <c r="E114" s="1" t="n">
        <v>46311</v>
      </c>
      <c r="F114" t="inlineStr">
        <is>
          <t>VÄSTRA GÖTALANDS LÄN</t>
        </is>
      </c>
      <c r="G114" t="inlineStr">
        <is>
          <t>SKARA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45099</v>
      </c>
      <c r="E115" s="1" t="n">
        <v>46311</v>
      </c>
      <c r="F115" t="inlineStr">
        <is>
          <t>VÄSTRA GÖTALANDS LÄN</t>
        </is>
      </c>
      <c r="G115" t="inlineStr">
        <is>
          <t>SKARA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46311</v>
      </c>
      <c r="F116" t="inlineStr">
        <is>
          <t>VÄSTRA GÖTALANDS LÄN</t>
        </is>
      </c>
      <c r="G116" t="inlineStr">
        <is>
          <t>SKARA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60840-2021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44497</v>
      </c>
      <c r="E117" s="1" t="n">
        <v>46311</v>
      </c>
      <c r="F117" t="inlineStr">
        <is>
          <t>VÄSTRA GÖTALANDS LÄN</t>
        </is>
      </c>
      <c r="G117" t="inlineStr">
        <is>
          <t>SKARA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44957</v>
      </c>
      <c r="E118" s="1" t="n">
        <v>46311</v>
      </c>
      <c r="F118" t="inlineStr">
        <is>
          <t>VÄSTRA GÖTALANDS LÄN</t>
        </is>
      </c>
      <c r="G118" t="inlineStr">
        <is>
          <t>SKARA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46311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45642</v>
      </c>
      <c r="E120" s="1" t="n">
        <v>46311</v>
      </c>
      <c r="F120" t="inlineStr">
        <is>
          <t>VÄSTRA GÖTALANDS LÄN</t>
        </is>
      </c>
      <c r="G120" t="inlineStr">
        <is>
          <t>SKARA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46311</v>
      </c>
      <c r="F121" t="inlineStr">
        <is>
          <t>VÄSTRA GÖTALANDS LÄN</t>
        </is>
      </c>
      <c r="G121" t="inlineStr">
        <is>
          <t>SKARA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45514</v>
      </c>
      <c r="E122" s="1" t="n">
        <v>46311</v>
      </c>
      <c r="F122" t="inlineStr">
        <is>
          <t>VÄSTRA GÖTALANDS LÄN</t>
        </is>
      </c>
      <c r="G122" t="inlineStr">
        <is>
          <t>SKARA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46311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46311</v>
      </c>
      <c r="F124" t="inlineStr">
        <is>
          <t>VÄSTRA GÖTALANDS LÄN</t>
        </is>
      </c>
      <c r="G124" t="inlineStr">
        <is>
          <t>SKARA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46311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46311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44990</v>
      </c>
      <c r="E127" s="1" t="n">
        <v>46311</v>
      </c>
      <c r="F127" t="inlineStr">
        <is>
          <t>VÄSTRA GÖTALANDS LÄN</t>
        </is>
      </c>
      <c r="G127" t="inlineStr">
        <is>
          <t>SKARA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46311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42874-2022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44832</v>
      </c>
      <c r="E129" s="1" t="n">
        <v>46311</v>
      </c>
      <c r="F129" t="inlineStr">
        <is>
          <t>VÄSTRA GÖTALANDS LÄN</t>
        </is>
      </c>
      <c r="G129" t="inlineStr">
        <is>
          <t>SKARA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46311</v>
      </c>
      <c r="F130" t="inlineStr">
        <is>
          <t>VÄSTRA GÖTALANDS LÄN</t>
        </is>
      </c>
      <c r="G130" t="inlineStr">
        <is>
          <t>SKARA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46311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46311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46311</v>
      </c>
      <c r="F133" t="inlineStr">
        <is>
          <t>VÄSTRA GÖTALANDS LÄN</t>
        </is>
      </c>
      <c r="G133" t="inlineStr">
        <is>
          <t>SKARA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45288</v>
      </c>
      <c r="E134" s="1" t="n">
        <v>46311</v>
      </c>
      <c r="F134" t="inlineStr">
        <is>
          <t>VÄSTRA GÖTALANDS LÄN</t>
        </is>
      </c>
      <c r="G134" t="inlineStr">
        <is>
          <t>SKARA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44819-2025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46311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46311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46311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46311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Kyrkan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45448</v>
      </c>
      <c r="E139" s="1" t="n">
        <v>46311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46311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Kyrkan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46311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46311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Kyrkan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46311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46311</v>
      </c>
      <c r="F144" t="inlineStr">
        <is>
          <t>VÄSTRA GÖTALANDS LÄN</t>
        </is>
      </c>
      <c r="G144" t="inlineStr">
        <is>
          <t>SKARA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46311</v>
      </c>
      <c r="F145" t="inlineStr">
        <is>
          <t>VÄSTRA GÖTALANDS LÄN</t>
        </is>
      </c>
      <c r="G145" t="inlineStr">
        <is>
          <t>SKARA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46311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46311</v>
      </c>
      <c r="F147" t="inlineStr">
        <is>
          <t>VÄSTRA GÖTALANDS LÄN</t>
        </is>
      </c>
      <c r="G147" t="inlineStr">
        <is>
          <t>SKARA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46311</v>
      </c>
      <c r="F148" t="inlineStr">
        <is>
          <t>VÄSTRA GÖTALANDS LÄN</t>
        </is>
      </c>
      <c r="G148" t="inlineStr">
        <is>
          <t>SKARA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46311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45314</v>
      </c>
      <c r="E150" s="1" t="n">
        <v>46311</v>
      </c>
      <c r="F150" t="inlineStr">
        <is>
          <t>VÄSTRA GÖTALANDS LÄN</t>
        </is>
      </c>
      <c r="G150" t="inlineStr">
        <is>
          <t>SKARA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46311</v>
      </c>
      <c r="F151" t="inlineStr">
        <is>
          <t>VÄSTRA GÖTALANDS LÄN</t>
        </is>
      </c>
      <c r="G151" t="inlineStr">
        <is>
          <t>SKARA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46311</v>
      </c>
      <c r="F152" t="inlineStr">
        <is>
          <t>VÄSTRA GÖTALANDS LÄN</t>
        </is>
      </c>
      <c r="G152" t="inlineStr">
        <is>
          <t>SKARA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46311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46311</v>
      </c>
      <c r="F154" t="inlineStr">
        <is>
          <t>VÄSTRA GÖTALANDS LÄN</t>
        </is>
      </c>
      <c r="G154" t="inlineStr">
        <is>
          <t>SKARA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44995</v>
      </c>
      <c r="E155" s="1" t="n">
        <v>46311</v>
      </c>
      <c r="F155" t="inlineStr">
        <is>
          <t>VÄSTRA GÖTALANDS LÄN</t>
        </is>
      </c>
      <c r="G155" t="inlineStr">
        <is>
          <t>SKARA</t>
        </is>
      </c>
      <c r="I155" t="n">
        <v>13.5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46311</v>
      </c>
      <c r="F156" t="inlineStr">
        <is>
          <t>VÄSTRA GÖTALANDS LÄN</t>
        </is>
      </c>
      <c r="G156" t="inlineStr">
        <is>
          <t>SKARA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46311</v>
      </c>
      <c r="F157" t="inlineStr">
        <is>
          <t>VÄSTRA GÖTALANDS LÄN</t>
        </is>
      </c>
      <c r="G157" t="inlineStr">
        <is>
          <t>SKARA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46311</v>
      </c>
      <c r="F158" t="inlineStr">
        <is>
          <t>VÄSTRA GÖTALANDS LÄN</t>
        </is>
      </c>
      <c r="G158" t="inlineStr">
        <is>
          <t>SKARA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46311</v>
      </c>
      <c r="F159" t="inlineStr">
        <is>
          <t>VÄSTRA GÖTALANDS LÄN</t>
        </is>
      </c>
      <c r="G159" t="inlineStr">
        <is>
          <t>SKARA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46311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46311</v>
      </c>
      <c r="F161" t="inlineStr">
        <is>
          <t>VÄSTRA GÖTALANDS LÄN</t>
        </is>
      </c>
      <c r="G161" t="inlineStr">
        <is>
          <t>SKARA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45140</v>
      </c>
      <c r="E162" s="1" t="n">
        <v>46311</v>
      </c>
      <c r="F162" t="inlineStr">
        <is>
          <t>VÄSTRA GÖTALANDS LÄN</t>
        </is>
      </c>
      <c r="G162" t="inlineStr">
        <is>
          <t>SKARA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27478-2026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46189</v>
      </c>
      <c r="E163" s="1" t="n">
        <v>46311</v>
      </c>
      <c r="F163" t="inlineStr">
        <is>
          <t>VÄSTRA GÖTALANDS LÄN</t>
        </is>
      </c>
      <c r="G163" t="inlineStr">
        <is>
          <t>SKARA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44995</v>
      </c>
      <c r="E164" s="1" t="n">
        <v>46311</v>
      </c>
      <c r="F164" t="inlineStr">
        <is>
          <t>VÄSTRA GÖTALANDS LÄN</t>
        </is>
      </c>
      <c r="G164" t="inlineStr">
        <is>
          <t>SKARA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45224</v>
      </c>
      <c r="E165" s="1" t="n">
        <v>46311</v>
      </c>
      <c r="F165" t="inlineStr">
        <is>
          <t>VÄSTRA GÖTALANDS LÄN</t>
        </is>
      </c>
      <c r="G165" t="inlineStr">
        <is>
          <t>SKARA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64553-2023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46311</v>
      </c>
      <c r="F166" t="inlineStr">
        <is>
          <t>VÄSTRA GÖTALANDS LÄN</t>
        </is>
      </c>
      <c r="G166" t="inlineStr">
        <is>
          <t>SKARA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46311</v>
      </c>
      <c r="F167" t="inlineStr">
        <is>
          <t>VÄSTRA GÖTALANDS LÄN</t>
        </is>
      </c>
      <c r="G167" t="inlineStr">
        <is>
          <t>SKARA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46311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46311</v>
      </c>
      <c r="F169" t="inlineStr">
        <is>
          <t>VÄSTRA GÖTALANDS LÄN</t>
        </is>
      </c>
      <c r="G169" t="inlineStr">
        <is>
          <t>SKARA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46311</v>
      </c>
      <c r="F170" t="inlineStr">
        <is>
          <t>VÄSTRA GÖTALANDS LÄN</t>
        </is>
      </c>
      <c r="G170" t="inlineStr">
        <is>
          <t>SKARA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12889-2022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44642</v>
      </c>
      <c r="E171" s="1" t="n">
        <v>46311</v>
      </c>
      <c r="F171" t="inlineStr">
        <is>
          <t>VÄSTRA GÖTALANDS LÄN</t>
        </is>
      </c>
      <c r="G171" t="inlineStr">
        <is>
          <t>SKARA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46311</v>
      </c>
      <c r="F172" t="inlineStr">
        <is>
          <t>VÄSTRA GÖTALANDS LÄN</t>
        </is>
      </c>
      <c r="G172" t="inlineStr">
        <is>
          <t>SKARA</t>
        </is>
      </c>
      <c r="I172" t="n">
        <v>21.6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46311</v>
      </c>
      <c r="F173" t="inlineStr">
        <is>
          <t>VÄSTRA GÖTALANDS LÄN</t>
        </is>
      </c>
      <c r="G173" t="inlineStr">
        <is>
          <t>SKARA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46203</v>
      </c>
      <c r="E174" s="1" t="n">
        <v>46311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Kyrkan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46168</v>
      </c>
      <c r="E175" s="1" t="n">
        <v>46311</v>
      </c>
      <c r="F175" t="inlineStr">
        <is>
          <t>VÄSTRA GÖTALANDS LÄN</t>
        </is>
      </c>
      <c r="G175" t="inlineStr">
        <is>
          <t>SKARA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45156</v>
      </c>
      <c r="E176" s="1" t="n">
        <v>46311</v>
      </c>
      <c r="F176" t="inlineStr">
        <is>
          <t>VÄSTRA GÖTALANDS LÄN</t>
        </is>
      </c>
      <c r="G176" t="inlineStr">
        <is>
          <t>SKARA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46311</v>
      </c>
      <c r="F177" t="inlineStr">
        <is>
          <t>VÄSTRA GÖTALANDS LÄN</t>
        </is>
      </c>
      <c r="G177" t="inlineStr">
        <is>
          <t>SKARA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46311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Kyrkan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46311</v>
      </c>
      <c r="F179" t="inlineStr">
        <is>
          <t>VÄSTRA GÖTALANDS LÄN</t>
        </is>
      </c>
      <c r="G179" t="inlineStr">
        <is>
          <t>SKARA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46311</v>
      </c>
      <c r="F180" t="inlineStr">
        <is>
          <t>VÄSTRA GÖTALANDS LÄN</t>
        </is>
      </c>
      <c r="G180" t="inlineStr">
        <is>
          <t>SKARA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45299</v>
      </c>
      <c r="E181" s="1" t="n">
        <v>46311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46311</v>
      </c>
      <c r="F182" t="inlineStr">
        <is>
          <t>VÄSTRA GÖTALANDS LÄN</t>
        </is>
      </c>
      <c r="G182" t="inlineStr">
        <is>
          <t>SKARA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46311</v>
      </c>
      <c r="F183" t="inlineStr">
        <is>
          <t>VÄSTRA GÖTALANDS LÄN</t>
        </is>
      </c>
      <c r="G183" t="inlineStr">
        <is>
          <t>SKARA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46311</v>
      </c>
      <c r="F184" t="inlineStr">
        <is>
          <t>VÄSTRA GÖTALANDS LÄN</t>
        </is>
      </c>
      <c r="G184" t="inlineStr">
        <is>
          <t>SKARA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46311</v>
      </c>
      <c r="F185" t="inlineStr">
        <is>
          <t>VÄSTRA GÖTALANDS LÄN</t>
        </is>
      </c>
      <c r="G185" t="inlineStr">
        <is>
          <t>SKARA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27668-2022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44743</v>
      </c>
      <c r="E186" s="1" t="n">
        <v>46311</v>
      </c>
      <c r="F186" t="inlineStr">
        <is>
          <t>VÄSTRA GÖTALANDS LÄN</t>
        </is>
      </c>
      <c r="G186" t="inlineStr">
        <is>
          <t>SKARA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46311</v>
      </c>
      <c r="F187" t="inlineStr">
        <is>
          <t>VÄSTRA GÖTALANDS LÄN</t>
        </is>
      </c>
      <c r="G187" t="inlineStr">
        <is>
          <t>SKARA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46311</v>
      </c>
      <c r="F188" t="inlineStr">
        <is>
          <t>VÄSTRA GÖTALANDS LÄN</t>
        </is>
      </c>
      <c r="G188" t="inlineStr">
        <is>
          <t>SKARA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46311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46311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Sveaskog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46311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46311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45313</v>
      </c>
      <c r="E193" s="1" t="n">
        <v>46311</v>
      </c>
      <c r="F193" t="inlineStr">
        <is>
          <t>VÄSTRA GÖTALANDS LÄN</t>
        </is>
      </c>
      <c r="G193" t="inlineStr">
        <is>
          <t>SKARA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46311</v>
      </c>
      <c r="F194" t="inlineStr">
        <is>
          <t>VÄSTRA GÖTALANDS LÄN</t>
        </is>
      </c>
      <c r="G194" t="inlineStr">
        <is>
          <t>SKARA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46246</v>
      </c>
      <c r="E195" s="1" t="n">
        <v>46311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46247</v>
      </c>
      <c r="E196" s="1" t="n">
        <v>46311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46311</v>
      </c>
      <c r="F197" t="inlineStr">
        <is>
          <t>VÄSTRA GÖTALANDS LÄN</t>
        </is>
      </c>
      <c r="G197" t="inlineStr">
        <is>
          <t>SKARA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46246</v>
      </c>
      <c r="E198" s="1" t="n">
        <v>46311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46311</v>
      </c>
      <c r="F199" t="inlineStr">
        <is>
          <t>VÄSTRA GÖTALANDS LÄN</t>
        </is>
      </c>
      <c r="G199" t="inlineStr">
        <is>
          <t>SKARA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46311</v>
      </c>
      <c r="F200" t="inlineStr">
        <is>
          <t>VÄSTRA GÖTALANDS LÄN</t>
        </is>
      </c>
      <c r="G200" t="inlineStr">
        <is>
          <t>SKARA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46311</v>
      </c>
      <c r="F201" t="inlineStr">
        <is>
          <t>VÄSTRA GÖTALANDS LÄN</t>
        </is>
      </c>
      <c r="G201" t="inlineStr">
        <is>
          <t>SKARA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46311</v>
      </c>
      <c r="F202" t="inlineStr">
        <is>
          <t>VÄSTRA GÖTALANDS LÄN</t>
        </is>
      </c>
      <c r="G202" t="inlineStr">
        <is>
          <t>SKARA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46311</v>
      </c>
      <c r="F203" t="inlineStr">
        <is>
          <t>VÄSTRA GÖTALANDS LÄN</t>
        </is>
      </c>
      <c r="G203" t="inlineStr">
        <is>
          <t>SKARA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46311</v>
      </c>
      <c r="F204" t="inlineStr">
        <is>
          <t>VÄSTRA GÖTALANDS LÄN</t>
        </is>
      </c>
      <c r="G204" t="inlineStr">
        <is>
          <t>SKARA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46311</v>
      </c>
      <c r="F205" t="inlineStr">
        <is>
          <t>VÄSTRA GÖTALANDS LÄN</t>
        </is>
      </c>
      <c r="G205" t="inlineStr">
        <is>
          <t>SKARA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46311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46311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46311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Kyrkan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46311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41260-2026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46300</v>
      </c>
      <c r="E210" s="1" t="n">
        <v>46311</v>
      </c>
      <c r="F210" t="inlineStr">
        <is>
          <t>VÄSTRA GÖTALANDS LÄN</t>
        </is>
      </c>
      <c r="G210" t="inlineStr">
        <is>
          <t>SKARA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46311</v>
      </c>
      <c r="F211" t="inlineStr">
        <is>
          <t>VÄSTRA GÖTALANDS LÄN</t>
        </is>
      </c>
      <c r="G211" t="inlineStr">
        <is>
          <t>SKARA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46281</v>
      </c>
      <c r="E212" s="1" t="n">
        <v>46311</v>
      </c>
      <c r="F212" t="inlineStr">
        <is>
          <t>VÄSTRA GÖTALANDS LÄN</t>
        </is>
      </c>
      <c r="G212" t="inlineStr">
        <is>
          <t>SKARA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46281</v>
      </c>
      <c r="E213" s="1" t="n">
        <v>46311</v>
      </c>
      <c r="F213" t="inlineStr">
        <is>
          <t>VÄSTRA GÖTALANDS LÄN</t>
        </is>
      </c>
      <c r="G213" t="inlineStr">
        <is>
          <t>SKARA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46311</v>
      </c>
      <c r="F214" t="inlineStr">
        <is>
          <t>VÄSTRA GÖTALANDS LÄN</t>
        </is>
      </c>
      <c r="G214" t="inlineStr">
        <is>
          <t>SKARA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46059</v>
      </c>
      <c r="E215" s="1" t="n">
        <v>46311</v>
      </c>
      <c r="F215" t="inlineStr">
        <is>
          <t>VÄSTRA GÖTALANDS LÄN</t>
        </is>
      </c>
      <c r="G215" t="inlineStr">
        <is>
          <t>SKARA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46311</v>
      </c>
      <c r="F216" t="inlineStr">
        <is>
          <t>VÄSTRA GÖTALANDS LÄN</t>
        </is>
      </c>
      <c r="G216" t="inlineStr">
        <is>
          <t>SKARA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46311</v>
      </c>
      <c r="F217" t="inlineStr">
        <is>
          <t>VÄSTRA GÖTALANDS LÄN</t>
        </is>
      </c>
      <c r="G217" t="inlineStr">
        <is>
          <t>SKARA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12332-2026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46087</v>
      </c>
      <c r="E218" s="1" t="n">
        <v>46311</v>
      </c>
      <c r="F218" t="inlineStr">
        <is>
          <t>VÄSTRA GÖTALANDS LÄN</t>
        </is>
      </c>
      <c r="G218" t="inlineStr">
        <is>
          <t>SKARA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46311</v>
      </c>
      <c r="F219" t="inlineStr">
        <is>
          <t>VÄSTRA GÖTALANDS LÄN</t>
        </is>
      </c>
      <c r="G219" t="inlineStr">
        <is>
          <t>SKARA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46311</v>
      </c>
      <c r="F220" t="inlineStr">
        <is>
          <t>VÄSTRA GÖTALANDS LÄN</t>
        </is>
      </c>
      <c r="G220" t="inlineStr">
        <is>
          <t>SKARA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46311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46311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2026-10-16T02:17:05Z</dcterms:created>
  <dcterms:modified xmlns:dcterms="http://purl.org/dc/terms/" xmlns:xsi="http://www.w3.org/2001/XMLSchema-instance" xsi:type="dcterms:W3CDTF">2026-10-16T02:17:05Z</dcterms:modified>
</cp:coreProperties>
</file>